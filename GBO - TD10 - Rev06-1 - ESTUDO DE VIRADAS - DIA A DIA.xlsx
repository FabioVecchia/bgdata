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6 - ENGENHARIA DE PRODUÇÃO\27 - PROJETO F4\Estudos\"/>
    </mc:Choice>
  </mc:AlternateContent>
  <xr:revisionPtr revIDLastSave="0" documentId="8_{452654A9-5851-4CA9-ABAA-AEE8AFE68E23}" xr6:coauthVersionLast="47" xr6:coauthVersionMax="47" xr10:uidLastSave="{00000000-0000-0000-0000-000000000000}"/>
  <bookViews>
    <workbookView xWindow="-108" yWindow="-108" windowWidth="23256" windowHeight="12456" xr2:uid="{6C98CE46-C491-4001-81C4-FB3BB009980F}"/>
  </bookViews>
  <sheets>
    <sheet name="Planilha3 (3)" sheetId="20" r:id="rId1"/>
    <sheet name="Planilha3 (2)" sheetId="19" state="hidden" r:id="rId2"/>
    <sheet name="NOVO LAYOUT" sheetId="12" r:id="rId3"/>
    <sheet name="NOVO LAYOUT (2)" sheetId="21" r:id="rId4"/>
    <sheet name="NOVO LAYOUT - 3 OP CEN 2" sheetId="17" state="hidden" r:id="rId5"/>
    <sheet name="NOVO LAYOUT CENARIO 3 OP" sheetId="16" state="hidden" r:id="rId6"/>
    <sheet name="CENÁRIO 3" sheetId="15" state="hidden" r:id="rId7"/>
    <sheet name="CENÁRIO 2" sheetId="14" state="hidden" r:id="rId8"/>
    <sheet name="CENÁRIO 1" sheetId="13" state="hidden" r:id="rId9"/>
    <sheet name="Planilha2" sheetId="8" state="hidden" r:id="rId10"/>
    <sheet name="PERDAS DE DISPONIBILIDADE" sheetId="9" state="hidden" r:id="rId11"/>
    <sheet name="OPERAÇÃO" sheetId="7" state="hidden" r:id="rId12"/>
    <sheet name="Planilha1" sheetId="10" state="hidden" r:id="rId13"/>
    <sheet name="BALANCEADO" sheetId="3" state="hidden" r:id="rId14"/>
    <sheet name="ESTADO ATUAL" sheetId="2" state="hidden" r:id="rId15"/>
    <sheet name="BALANCEADO (2)" sheetId="6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2" l="1"/>
  <c r="H25" i="21"/>
  <c r="G12" i="21"/>
  <c r="G17" i="21"/>
  <c r="G16" i="21"/>
  <c r="G15" i="21"/>
  <c r="G14" i="21"/>
  <c r="G13" i="21"/>
  <c r="G11" i="21"/>
  <c r="G10" i="21"/>
  <c r="G9" i="21"/>
  <c r="G8" i="21"/>
  <c r="G7" i="21"/>
  <c r="G6" i="21"/>
  <c r="G5" i="21"/>
  <c r="G4" i="21"/>
  <c r="G3" i="21"/>
  <c r="G2" i="21"/>
  <c r="F11" i="20"/>
  <c r="L13" i="20"/>
  <c r="M12" i="20"/>
  <c r="M13" i="20" s="1"/>
  <c r="M14" i="20" s="1"/>
  <c r="L12" i="20"/>
  <c r="P11" i="20"/>
  <c r="P12" i="20" s="1"/>
  <c r="P13" i="20" s="1"/>
  <c r="P14" i="20" s="1"/>
  <c r="P15" i="20" s="1"/>
  <c r="P16" i="20" s="1"/>
  <c r="P17" i="20" s="1"/>
  <c r="P18" i="20" s="1"/>
  <c r="P19" i="20" s="1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O11" i="20"/>
  <c r="N11" i="20"/>
  <c r="N12" i="20" s="1"/>
  <c r="M11" i="20"/>
  <c r="L11" i="20"/>
  <c r="C11" i="20"/>
  <c r="C7" i="20"/>
  <c r="E7" i="20" s="1"/>
  <c r="D6" i="20"/>
  <c r="E6" i="20" s="1"/>
  <c r="C6" i="20"/>
  <c r="C5" i="20"/>
  <c r="E5" i="20" s="1"/>
  <c r="C4" i="20"/>
  <c r="E4" i="20" s="1"/>
  <c r="C3" i="20"/>
  <c r="E3" i="20" s="1"/>
  <c r="C2" i="20"/>
  <c r="E2" i="20" s="1"/>
  <c r="J34" i="19"/>
  <c r="F35" i="19"/>
  <c r="L30" i="19"/>
  <c r="M30" i="19"/>
  <c r="M31" i="19" s="1"/>
  <c r="N30" i="19"/>
  <c r="N31" i="19" s="1"/>
  <c r="P30" i="19"/>
  <c r="P31" i="19" s="1"/>
  <c r="P32" i="19" s="1"/>
  <c r="P33" i="19" s="1"/>
  <c r="P34" i="19" s="1"/>
  <c r="P35" i="19" s="1"/>
  <c r="L31" i="19"/>
  <c r="L32" i="19" s="1"/>
  <c r="G30" i="19"/>
  <c r="C30" i="19"/>
  <c r="F29" i="19"/>
  <c r="D26" i="19"/>
  <c r="F24" i="19"/>
  <c r="H21" i="19"/>
  <c r="C12" i="19"/>
  <c r="C13" i="19"/>
  <c r="C14" i="19"/>
  <c r="C15" i="19"/>
  <c r="C16" i="19"/>
  <c r="C17" i="19"/>
  <c r="C18" i="19"/>
  <c r="C19" i="19"/>
  <c r="C20" i="19"/>
  <c r="C21" i="19"/>
  <c r="C11" i="19"/>
  <c r="F19" i="19"/>
  <c r="L16" i="19"/>
  <c r="L17" i="19" s="1"/>
  <c r="L18" i="19" s="1"/>
  <c r="L19" i="19" s="1"/>
  <c r="L20" i="19" s="1"/>
  <c r="L21" i="19" s="1"/>
  <c r="L22" i="19" s="1"/>
  <c r="L23" i="19" s="1"/>
  <c r="L24" i="19" s="1"/>
  <c r="L25" i="19" s="1"/>
  <c r="L26" i="19" s="1"/>
  <c r="L27" i="19" s="1"/>
  <c r="L28" i="19" s="1"/>
  <c r="L29" i="19" s="1"/>
  <c r="P11" i="19"/>
  <c r="P12" i="19" s="1"/>
  <c r="P13" i="19" s="1"/>
  <c r="P14" i="19" s="1"/>
  <c r="P15" i="19" s="1"/>
  <c r="P16" i="19" s="1"/>
  <c r="P17" i="19" s="1"/>
  <c r="P18" i="19" s="1"/>
  <c r="P19" i="19" s="1"/>
  <c r="P20" i="19" s="1"/>
  <c r="P21" i="19" s="1"/>
  <c r="P22" i="19" s="1"/>
  <c r="P23" i="19" s="1"/>
  <c r="P24" i="19" s="1"/>
  <c r="P25" i="19" s="1"/>
  <c r="P26" i="19" s="1"/>
  <c r="P27" i="19" s="1"/>
  <c r="P28" i="19" s="1"/>
  <c r="P29" i="19" s="1"/>
  <c r="O11" i="19"/>
  <c r="O12" i="19" s="1"/>
  <c r="O13" i="19" s="1"/>
  <c r="O14" i="19" s="1"/>
  <c r="O15" i="19" s="1"/>
  <c r="K15" i="19" s="1"/>
  <c r="N11" i="19"/>
  <c r="N12" i="19" s="1"/>
  <c r="N13" i="19" s="1"/>
  <c r="N14" i="19" s="1"/>
  <c r="N15" i="19" s="1"/>
  <c r="I15" i="19" s="1"/>
  <c r="M11" i="19"/>
  <c r="M12" i="19" s="1"/>
  <c r="M13" i="19" s="1"/>
  <c r="M14" i="19" s="1"/>
  <c r="M15" i="19" s="1"/>
  <c r="M16" i="19" s="1"/>
  <c r="L11" i="19"/>
  <c r="L12" i="19" s="1"/>
  <c r="L13" i="19" s="1"/>
  <c r="L14" i="19" s="1"/>
  <c r="L15" i="19" s="1"/>
  <c r="C7" i="19"/>
  <c r="E7" i="19" s="1"/>
  <c r="D6" i="19"/>
  <c r="E6" i="19" s="1"/>
  <c r="C6" i="19"/>
  <c r="C5" i="19"/>
  <c r="E5" i="19" s="1"/>
  <c r="C4" i="19"/>
  <c r="E4" i="19" s="1"/>
  <c r="C3" i="19"/>
  <c r="E3" i="19" s="1"/>
  <c r="C2" i="19"/>
  <c r="E2" i="19" s="1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D11" i="9"/>
  <c r="D12" i="9"/>
  <c r="D13" i="9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G11" i="20" l="1"/>
  <c r="I11" i="20"/>
  <c r="G12" i="20"/>
  <c r="C12" i="20"/>
  <c r="O12" i="20"/>
  <c r="I12" i="20" s="1"/>
  <c r="K11" i="20"/>
  <c r="N13" i="20"/>
  <c r="N14" i="20" s="1"/>
  <c r="N15" i="20" s="1"/>
  <c r="C13" i="20"/>
  <c r="M15" i="20"/>
  <c r="L14" i="20"/>
  <c r="N32" i="19"/>
  <c r="L33" i="19"/>
  <c r="M32" i="19"/>
  <c r="G31" i="19"/>
  <c r="C31" i="19"/>
  <c r="M17" i="19"/>
  <c r="M18" i="19" s="1"/>
  <c r="M19" i="19" s="1"/>
  <c r="M20" i="19" s="1"/>
  <c r="M21" i="19" s="1"/>
  <c r="G16" i="19"/>
  <c r="G13" i="19"/>
  <c r="O16" i="19"/>
  <c r="I16" i="19" s="1"/>
  <c r="I14" i="19"/>
  <c r="I12" i="19"/>
  <c r="K14" i="19"/>
  <c r="K11" i="19"/>
  <c r="G12" i="19"/>
  <c r="N16" i="19"/>
  <c r="N17" i="19" s="1"/>
  <c r="N18" i="19" s="1"/>
  <c r="N19" i="19" s="1"/>
  <c r="N20" i="19" s="1"/>
  <c r="N21" i="19" s="1"/>
  <c r="N22" i="19" s="1"/>
  <c r="G11" i="19"/>
  <c r="K12" i="19"/>
  <c r="G15" i="19"/>
  <c r="G14" i="19"/>
  <c r="I13" i="19"/>
  <c r="I11" i="19"/>
  <c r="K13" i="19"/>
  <c r="G18" i="19"/>
  <c r="G17" i="19"/>
  <c r="G3" i="15"/>
  <c r="G4" i="15"/>
  <c r="G10" i="15"/>
  <c r="G13" i="15"/>
  <c r="G14" i="15"/>
  <c r="G15" i="15"/>
  <c r="G16" i="15"/>
  <c r="G2" i="15"/>
  <c r="G12" i="15"/>
  <c r="G11" i="15"/>
  <c r="G9" i="15"/>
  <c r="G8" i="15"/>
  <c r="G7" i="15"/>
  <c r="G6" i="15"/>
  <c r="G5" i="15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O13" i="20" l="1"/>
  <c r="I13" i="20" s="1"/>
  <c r="K12" i="20"/>
  <c r="G14" i="20"/>
  <c r="G13" i="20"/>
  <c r="N16" i="20"/>
  <c r="C14" i="20"/>
  <c r="L15" i="20"/>
  <c r="M16" i="20"/>
  <c r="G15" i="20"/>
  <c r="M33" i="19"/>
  <c r="C33" i="19" s="1"/>
  <c r="G32" i="19"/>
  <c r="C32" i="19"/>
  <c r="L34" i="19"/>
  <c r="N33" i="19"/>
  <c r="G21" i="19"/>
  <c r="M22" i="19"/>
  <c r="K16" i="19"/>
  <c r="O17" i="19"/>
  <c r="N23" i="19"/>
  <c r="G19" i="19"/>
  <c r="G20" i="19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2" i="12"/>
  <c r="D7" i="10"/>
  <c r="D5" i="10"/>
  <c r="B5" i="10"/>
  <c r="H2" i="9"/>
  <c r="D10" i="9"/>
  <c r="D9" i="9"/>
  <c r="C9" i="9"/>
  <c r="D5" i="9"/>
  <c r="D6" i="9"/>
  <c r="D7" i="9"/>
  <c r="D8" i="9"/>
  <c r="B5" i="9"/>
  <c r="D4" i="9"/>
  <c r="D3" i="9"/>
  <c r="D2" i="9"/>
  <c r="D9" i="8"/>
  <c r="B9" i="8"/>
  <c r="B4" i="8"/>
  <c r="B3" i="8"/>
  <c r="B2" i="8"/>
  <c r="E28" i="6"/>
  <c r="E22" i="6"/>
  <c r="D20" i="6"/>
  <c r="B18" i="6"/>
  <c r="D20" i="3"/>
  <c r="K13" i="20" l="1"/>
  <c r="O14" i="20"/>
  <c r="G16" i="20"/>
  <c r="M17" i="20"/>
  <c r="L16" i="20"/>
  <c r="C15" i="20"/>
  <c r="N17" i="20"/>
  <c r="L35" i="19"/>
  <c r="M34" i="19"/>
  <c r="G33" i="19"/>
  <c r="N34" i="19"/>
  <c r="G22" i="19"/>
  <c r="C22" i="19"/>
  <c r="O18" i="19"/>
  <c r="K17" i="19"/>
  <c r="I17" i="19"/>
  <c r="M23" i="19"/>
  <c r="C23" i="19" s="1"/>
  <c r="N24" i="19"/>
  <c r="G23" i="19"/>
  <c r="D14" i="9"/>
  <c r="D15" i="9" s="1"/>
  <c r="E28" i="3"/>
  <c r="E22" i="3"/>
  <c r="B18" i="3"/>
  <c r="K14" i="20" l="1"/>
  <c r="O15" i="20"/>
  <c r="I14" i="20"/>
  <c r="N18" i="20"/>
  <c r="M18" i="20"/>
  <c r="G17" i="20"/>
  <c r="C16" i="20"/>
  <c r="L17" i="20"/>
  <c r="N35" i="19"/>
  <c r="G34" i="19"/>
  <c r="M35" i="19"/>
  <c r="C34" i="19"/>
  <c r="M24" i="19"/>
  <c r="C24" i="19" s="1"/>
  <c r="O19" i="19"/>
  <c r="I18" i="19"/>
  <c r="K18" i="19"/>
  <c r="N25" i="19"/>
  <c r="I15" i="20" l="1"/>
  <c r="O16" i="20"/>
  <c r="K15" i="20"/>
  <c r="C17" i="20"/>
  <c r="L18" i="20"/>
  <c r="M19" i="20"/>
  <c r="G18" i="20"/>
  <c r="N19" i="20"/>
  <c r="G35" i="19"/>
  <c r="C35" i="19"/>
  <c r="G24" i="19"/>
  <c r="M25" i="19"/>
  <c r="C25" i="19" s="1"/>
  <c r="O20" i="19"/>
  <c r="I19" i="19"/>
  <c r="K19" i="19"/>
  <c r="N26" i="19"/>
  <c r="I16" i="20" l="1"/>
  <c r="O17" i="20"/>
  <c r="K16" i="20"/>
  <c r="N20" i="20"/>
  <c r="G19" i="20"/>
  <c r="M20" i="20"/>
  <c r="L19" i="20"/>
  <c r="C18" i="20"/>
  <c r="G25" i="19"/>
  <c r="M26" i="19"/>
  <c r="C26" i="19" s="1"/>
  <c r="O21" i="19"/>
  <c r="K20" i="19"/>
  <c r="I20" i="19"/>
  <c r="N27" i="19"/>
  <c r="I17" i="20" l="1"/>
  <c r="K17" i="20"/>
  <c r="O18" i="20"/>
  <c r="C19" i="20"/>
  <c r="L20" i="20"/>
  <c r="G20" i="20"/>
  <c r="M21" i="20"/>
  <c r="N21" i="20"/>
  <c r="M27" i="19"/>
  <c r="C27" i="19" s="1"/>
  <c r="G26" i="19"/>
  <c r="K21" i="19"/>
  <c r="O22" i="19"/>
  <c r="I21" i="19"/>
  <c r="N28" i="19"/>
  <c r="I18" i="20" l="1"/>
  <c r="O19" i="20"/>
  <c r="K18" i="20"/>
  <c r="M22" i="20"/>
  <c r="G21" i="20"/>
  <c r="L21" i="20"/>
  <c r="C20" i="20"/>
  <c r="N22" i="20"/>
  <c r="G27" i="19"/>
  <c r="M28" i="19"/>
  <c r="C28" i="19" s="1"/>
  <c r="K22" i="19"/>
  <c r="O23" i="19"/>
  <c r="I22" i="19"/>
  <c r="N29" i="19"/>
  <c r="O20" i="20" l="1"/>
  <c r="I19" i="20"/>
  <c r="K19" i="20"/>
  <c r="G22" i="20"/>
  <c r="M23" i="20"/>
  <c r="N23" i="20"/>
  <c r="L22" i="20"/>
  <c r="C21" i="20"/>
  <c r="M29" i="19"/>
  <c r="C29" i="19" s="1"/>
  <c r="G28" i="19"/>
  <c r="O24" i="19"/>
  <c r="K23" i="19"/>
  <c r="I23" i="19"/>
  <c r="O21" i="20" l="1"/>
  <c r="K20" i="20"/>
  <c r="I20" i="20"/>
  <c r="C22" i="20"/>
  <c r="L23" i="20"/>
  <c r="N24" i="20"/>
  <c r="G23" i="20"/>
  <c r="M24" i="20"/>
  <c r="G29" i="19"/>
  <c r="O25" i="19"/>
  <c r="I24" i="19"/>
  <c r="K24" i="19"/>
  <c r="K21" i="20" l="1"/>
  <c r="I21" i="20"/>
  <c r="O22" i="20"/>
  <c r="M25" i="20"/>
  <c r="G24" i="20"/>
  <c r="N25" i="20"/>
  <c r="C23" i="20"/>
  <c r="L24" i="20"/>
  <c r="O26" i="19"/>
  <c r="I25" i="19"/>
  <c r="K25" i="19"/>
  <c r="K22" i="20" l="1"/>
  <c r="I22" i="20"/>
  <c r="O23" i="20"/>
  <c r="C24" i="20"/>
  <c r="L25" i="20"/>
  <c r="N26" i="20"/>
  <c r="G25" i="20"/>
  <c r="M26" i="20"/>
  <c r="I26" i="19"/>
  <c r="O27" i="19"/>
  <c r="K26" i="19"/>
  <c r="I23" i="20" l="1"/>
  <c r="O24" i="20"/>
  <c r="K23" i="20"/>
  <c r="M27" i="20"/>
  <c r="G26" i="20"/>
  <c r="N27" i="20"/>
  <c r="C25" i="20"/>
  <c r="L26" i="20"/>
  <c r="O28" i="19"/>
  <c r="K27" i="19"/>
  <c r="I27" i="19"/>
  <c r="O25" i="20" l="1"/>
  <c r="K24" i="20"/>
  <c r="I24" i="20"/>
  <c r="L27" i="20"/>
  <c r="C26" i="20"/>
  <c r="N28" i="20"/>
  <c r="G27" i="20"/>
  <c r="M28" i="20"/>
  <c r="O29" i="19"/>
  <c r="O30" i="19" s="1"/>
  <c r="I28" i="19"/>
  <c r="K28" i="19"/>
  <c r="K25" i="20" l="1"/>
  <c r="I25" i="20"/>
  <c r="O26" i="20"/>
  <c r="M29" i="20"/>
  <c r="G28" i="20"/>
  <c r="N29" i="20"/>
  <c r="C27" i="20"/>
  <c r="L28" i="20"/>
  <c r="O31" i="19"/>
  <c r="K30" i="19"/>
  <c r="I30" i="19"/>
  <c r="K29" i="19"/>
  <c r="I29" i="19"/>
  <c r="I26" i="20" l="1"/>
  <c r="O27" i="20"/>
  <c r="K26" i="20"/>
  <c r="L29" i="20"/>
  <c r="C28" i="20"/>
  <c r="N30" i="20"/>
  <c r="G29" i="20"/>
  <c r="M30" i="20"/>
  <c r="O32" i="19"/>
  <c r="I31" i="19"/>
  <c r="K31" i="19"/>
  <c r="O28" i="20" l="1"/>
  <c r="I27" i="20"/>
  <c r="K27" i="20"/>
  <c r="N31" i="20"/>
  <c r="M31" i="20"/>
  <c r="G30" i="20"/>
  <c r="C29" i="20"/>
  <c r="L30" i="20"/>
  <c r="O33" i="19"/>
  <c r="K32" i="19"/>
  <c r="I32" i="19"/>
  <c r="O29" i="20" l="1"/>
  <c r="I28" i="20"/>
  <c r="K28" i="20"/>
  <c r="L31" i="20"/>
  <c r="C30" i="20"/>
  <c r="M32" i="20"/>
  <c r="G31" i="20"/>
  <c r="N32" i="20"/>
  <c r="K33" i="19"/>
  <c r="O34" i="19"/>
  <c r="I33" i="19"/>
  <c r="O30" i="20" l="1"/>
  <c r="K29" i="20"/>
  <c r="I29" i="20"/>
  <c r="N33" i="20"/>
  <c r="M33" i="20"/>
  <c r="G32" i="20"/>
  <c r="L32" i="20"/>
  <c r="C31" i="20"/>
  <c r="K34" i="19"/>
  <c r="O35" i="19"/>
  <c r="I34" i="19"/>
  <c r="I30" i="20" l="1"/>
  <c r="O31" i="20"/>
  <c r="K30" i="20"/>
  <c r="N34" i="20"/>
  <c r="L33" i="20"/>
  <c r="C32" i="20"/>
  <c r="M34" i="20"/>
  <c r="G33" i="20"/>
  <c r="K35" i="19"/>
  <c r="I35" i="19"/>
  <c r="O32" i="20" l="1"/>
  <c r="K31" i="20"/>
  <c r="I31" i="20"/>
  <c r="G34" i="20"/>
  <c r="M35" i="20"/>
  <c r="L34" i="20"/>
  <c r="C33" i="20"/>
  <c r="N35" i="20"/>
  <c r="I32" i="20" l="1"/>
  <c r="O33" i="20"/>
  <c r="K32" i="20"/>
  <c r="C34" i="20"/>
  <c r="L35" i="20"/>
  <c r="C35" i="20" s="1"/>
  <c r="G35" i="20"/>
  <c r="O34" i="20" l="1"/>
  <c r="K33" i="20"/>
  <c r="I33" i="20"/>
  <c r="K34" i="20" l="1"/>
  <c r="O35" i="20"/>
  <c r="I34" i="20"/>
  <c r="K35" i="20" l="1"/>
  <c r="I35" i="20"/>
</calcChain>
</file>

<file path=xl/sharedStrings.xml><?xml version="1.0" encoding="utf-8"?>
<sst xmlns="http://schemas.openxmlformats.org/spreadsheetml/2006/main" count="347" uniqueCount="89">
  <si>
    <t>ABASTECIMENTO PINO</t>
  </si>
  <si>
    <t>ABASTECIMENTO EQUIPTOP</t>
  </si>
  <si>
    <t>ABASTECIMENTO USINAGEM CAIXA</t>
  </si>
  <si>
    <t>LAMINAÇÃO ROSCA</t>
  </si>
  <si>
    <t>LAMINAÇÃO ESFERA</t>
  </si>
  <si>
    <t>INSERIR BUCHA</t>
  </si>
  <si>
    <t>SELAR O SACO PLÁSTICO</t>
  </si>
  <si>
    <t>COLOCAR PEÇA NO SACO PLÁSTICO</t>
  </si>
  <si>
    <t>ABRIR O CARTUCHO</t>
  </si>
  <si>
    <t>ENCARTUCHAR A PEÇA</t>
  </si>
  <si>
    <t>COLOCAR A PEÇA NA MASTER</t>
  </si>
  <si>
    <t>GRAMPEAR A CAIXA</t>
  </si>
  <si>
    <t>INSERIR PORCA</t>
  </si>
  <si>
    <t>ATIVIDADE</t>
  </si>
  <si>
    <t>ADICIONAR GRAXA</t>
  </si>
  <si>
    <t>ETIQUETAR</t>
  </si>
  <si>
    <t>ABASTECER A PRESSMATIK</t>
  </si>
  <si>
    <t>TAKT TIME</t>
  </si>
  <si>
    <t>OPERADOR PINO</t>
  </si>
  <si>
    <t>OPERADOR EQUIPTOP</t>
  </si>
  <si>
    <t>OPERADOR CAIXA</t>
  </si>
  <si>
    <t>OPERADOR LAMINAÇÃO</t>
  </si>
  <si>
    <t>OPERADOR MONTAGEM</t>
  </si>
  <si>
    <t>INSPEÇÃO PINO</t>
  </si>
  <si>
    <t>INSPEÇÃO EQUIPTOP</t>
  </si>
  <si>
    <t>INSPEÇÃO MONTAGEM</t>
  </si>
  <si>
    <t>PREENCHIMENTO DE DB 1</t>
  </si>
  <si>
    <t>PREENCHIMENTO DE DB 2</t>
  </si>
  <si>
    <t xml:space="preserve">PREENCHIMENTO DE DB 5 </t>
  </si>
  <si>
    <t>PREENCHIMENTO DE DB 6</t>
  </si>
  <si>
    <t xml:space="preserve">PREENCHIMENTO DE DB 4 </t>
  </si>
  <si>
    <t xml:space="preserve">PREENCHIMENTO DE DB 3 </t>
  </si>
  <si>
    <t>ATUALIZAR QUADRO</t>
  </si>
  <si>
    <t>INSPEÇÃO CAIXA (1/25)</t>
  </si>
  <si>
    <t>INSPEÇÃO CAIXA (1/50)</t>
  </si>
  <si>
    <t>PARADA</t>
  </si>
  <si>
    <t>TEMPO</t>
  </si>
  <si>
    <t>SETUP PINO</t>
  </si>
  <si>
    <t>VIRADA</t>
  </si>
  <si>
    <t>INSPEÇÃO CAIXA</t>
  </si>
  <si>
    <t>INSPEÇÃO LAM</t>
  </si>
  <si>
    <t>MONTAGEM</t>
  </si>
  <si>
    <t>Atividade</t>
  </si>
  <si>
    <t>Repetições / turno</t>
  </si>
  <si>
    <t>Inspeção caixa (1/50)</t>
  </si>
  <si>
    <t>Tempo (s)</t>
  </si>
  <si>
    <t>Tempo Total (s)</t>
  </si>
  <si>
    <t>Inspeção caixa (1/25)</t>
  </si>
  <si>
    <t>Inspeção equiptop (1/50)</t>
  </si>
  <si>
    <t>Inspeção montagem</t>
  </si>
  <si>
    <t>Inspeção pino (1/60)</t>
  </si>
  <si>
    <t>Virada 2</t>
  </si>
  <si>
    <t>Virada 1</t>
  </si>
  <si>
    <t>Preencher diário de bordo</t>
  </si>
  <si>
    <t>Preencher quadro</t>
  </si>
  <si>
    <t>Setup Equiptop</t>
  </si>
  <si>
    <t>Setup Caixa</t>
  </si>
  <si>
    <t>Setup Pino</t>
  </si>
  <si>
    <t>Tempo disponível (s)</t>
  </si>
  <si>
    <t>ABASTECIMENTO LAMINAÇÃO</t>
  </si>
  <si>
    <t>Operador 1</t>
  </si>
  <si>
    <t>Operador 2</t>
  </si>
  <si>
    <t>Operador 3</t>
  </si>
  <si>
    <t>Operador 4</t>
  </si>
  <si>
    <t>TEMPOS</t>
  </si>
  <si>
    <t>PINO</t>
  </si>
  <si>
    <t>CAIXA</t>
  </si>
  <si>
    <t>EQUIPTOP</t>
  </si>
  <si>
    <t>EMBALAGEM</t>
  </si>
  <si>
    <t>OPERAÇÃO</t>
  </si>
  <si>
    <t>CAPACIDADE</t>
  </si>
  <si>
    <t>HORAS OPERANDO</t>
  </si>
  <si>
    <t>CAPACIDADE DISPONÍVEL</t>
  </si>
  <si>
    <t>PRODUÇÃO PINO</t>
  </si>
  <si>
    <t>PRODUÇÃO EQUIPTOP</t>
  </si>
  <si>
    <t>PRODUÇÃO CAIXA 1</t>
  </si>
  <si>
    <t>PRODUÇÃO CAIXA 2</t>
  </si>
  <si>
    <t>PRODUÇÃO MONTAGEM</t>
  </si>
  <si>
    <t>PRODUÇÃO EMBALAGEM</t>
  </si>
  <si>
    <t>WIP ANTES DA MONTAGEM</t>
  </si>
  <si>
    <t>WIP ANTES DA CAIXA</t>
  </si>
  <si>
    <t>HORA</t>
  </si>
  <si>
    <t>WIP ANTES DA EMBALAGEM</t>
  </si>
  <si>
    <t>SOMATÓRIO PINO</t>
  </si>
  <si>
    <t>SOMATORIO EQUIPTOP</t>
  </si>
  <si>
    <t>SOMATORIO CAIXA</t>
  </si>
  <si>
    <t>SOMATORIO MONTAGEM</t>
  </si>
  <si>
    <t>SOMATORIO EMBALAGEM</t>
  </si>
  <si>
    <t>WIP ANTES DA EQUIPTOP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</si>
</sst>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9" fontId="0" fillId="0" borderId="0" xfId="1" applyFont="1"/>
    <xf numFmtId="1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" fontId="0" fillId="2" borderId="0" xfId="0" applyNumberFormat="1" applyFill="1"/>
  </cellXfs>
  <cellStyles count="2">
    <cellStyle name="Normal" xfId="0" builtinId="0"/>
    <cellStyle name="Porcentagem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'NOVO LAYOUT'!$A$2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LAYOUT'!$B$2:$E$2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B-496F-B7D0-46EAAB18421A}"/>
            </c:ext>
          </c:extLst>
        </c:ser>
        <c:ser>
          <c:idx val="1"/>
          <c:order val="1"/>
          <c:tx>
            <c:strRef>
              <c:f>'NOVO LAYOUT'!$A$3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LAYOUT'!$B$3:$E$3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B-496F-B7D0-46EAAB18421A}"/>
            </c:ext>
          </c:extLst>
        </c:ser>
        <c:ser>
          <c:idx val="2"/>
          <c:order val="2"/>
          <c:tx>
            <c:strRef>
              <c:f>'NOVO LAYOUT'!$A$4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LAYOUT'!$B$4:$E$4</c:f>
              <c:numCache>
                <c:formatCode>General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4B-496F-B7D0-46EAAB18421A}"/>
            </c:ext>
          </c:extLst>
        </c:ser>
        <c:ser>
          <c:idx val="3"/>
          <c:order val="3"/>
          <c:tx>
            <c:strRef>
              <c:f>'NOVO LAYOUT'!$A$5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LAYOUT'!$B$5:$E$5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4B-496F-B7D0-46EAAB18421A}"/>
            </c:ext>
          </c:extLst>
        </c:ser>
        <c:ser>
          <c:idx val="4"/>
          <c:order val="4"/>
          <c:tx>
            <c:strRef>
              <c:f>'NOVO LAYOUT'!$A$6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4B-496F-B7D0-46EAAB18421A}"/>
            </c:ext>
          </c:extLst>
        </c:ser>
        <c:ser>
          <c:idx val="5"/>
          <c:order val="5"/>
          <c:tx>
            <c:strRef>
              <c:f>'NOVO LAYOUT'!$A$7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4B-496F-B7D0-46EAAB18421A}"/>
            </c:ext>
          </c:extLst>
        </c:ser>
        <c:ser>
          <c:idx val="6"/>
          <c:order val="6"/>
          <c:tx>
            <c:strRef>
              <c:f>'NOVO LAYOUT'!$A$8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4B-496F-B7D0-46EAAB18421A}"/>
            </c:ext>
          </c:extLst>
        </c:ser>
        <c:ser>
          <c:idx val="7"/>
          <c:order val="7"/>
          <c:tx>
            <c:strRef>
              <c:f>'NOVO LAYOUT'!$A$9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LAYOUT'!$B$9:$E$9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4B-496F-B7D0-46EAAB18421A}"/>
            </c:ext>
          </c:extLst>
        </c:ser>
        <c:ser>
          <c:idx val="8"/>
          <c:order val="8"/>
          <c:tx>
            <c:strRef>
              <c:f>'NOVO LAYOUT'!$A$10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LAYOUT'!$B$10:$E$10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4.8600000000000003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4B-496F-B7D0-46EAAB18421A}"/>
            </c:ext>
          </c:extLst>
        </c:ser>
        <c:ser>
          <c:idx val="9"/>
          <c:order val="9"/>
          <c:tx>
            <c:strRef>
              <c:f>'NOVO LAYOUT'!$A$11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4B-496F-B7D0-46EAAB18421A}"/>
            </c:ext>
          </c:extLst>
        </c:ser>
        <c:ser>
          <c:idx val="10"/>
          <c:order val="10"/>
          <c:tx>
            <c:strRef>
              <c:f>'NOVO LAYOUT'!$A$12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LAYOUT'!$B$12:$E$12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4B-496F-B7D0-46EAAB18421A}"/>
            </c:ext>
          </c:extLst>
        </c:ser>
        <c:ser>
          <c:idx val="11"/>
          <c:order val="11"/>
          <c:tx>
            <c:strRef>
              <c:f>'NOVO LAYOUT'!$A$13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LAYOUT'!$B$13:$E$13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84B-496F-B7D0-46EAAB18421A}"/>
            </c:ext>
          </c:extLst>
        </c:ser>
        <c:ser>
          <c:idx val="12"/>
          <c:order val="12"/>
          <c:tx>
            <c:strRef>
              <c:f>'NOVO LAYOUT'!$A$14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LAYOUT'!$B$14:$E$14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4B-496F-B7D0-46EAAB18421A}"/>
            </c:ext>
          </c:extLst>
        </c:ser>
        <c:ser>
          <c:idx val="13"/>
          <c:order val="13"/>
          <c:tx>
            <c:strRef>
              <c:f>'NOVO LAYOUT'!$A$15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LAYOUT'!$B$15:$E$15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4B-496F-B7D0-46EAAB18421A}"/>
            </c:ext>
          </c:extLst>
        </c:ser>
        <c:ser>
          <c:idx val="14"/>
          <c:order val="14"/>
          <c:tx>
            <c:strRef>
              <c:f>'NOVO LAYOUT'!$A$16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LAYOUT'!$B$16:$E$16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84B-496F-B7D0-46EAAB18421A}"/>
            </c:ext>
          </c:extLst>
        </c:ser>
        <c:ser>
          <c:idx val="15"/>
          <c:order val="15"/>
          <c:tx>
            <c:strRef>
              <c:f>'NOVO LAYOUT'!$A$17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84B-496F-B7D0-46EAAB184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'NOVO LAYOUT'!$A$18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'NOVO LAYOUT'!$B$1:$E$1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LAYOUT'!$B$18:$E$18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84B-496F-B7D0-46EAAB184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'NOVO LAYOUT (2)'!$A$2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(2)'!$B$2:$E$2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F-4361-B3D9-B05AC012319D}"/>
            </c:ext>
          </c:extLst>
        </c:ser>
        <c:ser>
          <c:idx val="1"/>
          <c:order val="1"/>
          <c:tx>
            <c:strRef>
              <c:f>'NOVO LAYOUT (2)'!$A$3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(2)'!$B$3:$E$3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F-4361-B3D9-B05AC012319D}"/>
            </c:ext>
          </c:extLst>
        </c:ser>
        <c:ser>
          <c:idx val="2"/>
          <c:order val="2"/>
          <c:tx>
            <c:strRef>
              <c:f>'NOVO LAYOUT (2)'!$A$4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5F-4361-B3D9-B05AC012319D}"/>
            </c:ext>
          </c:extLst>
        </c:ser>
        <c:ser>
          <c:idx val="3"/>
          <c:order val="3"/>
          <c:tx>
            <c:strRef>
              <c:f>'NOVO LAYOUT (2)'!$A$5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(2)'!$B$5:$E$5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5F-4361-B3D9-B05AC012319D}"/>
            </c:ext>
          </c:extLst>
        </c:ser>
        <c:ser>
          <c:idx val="4"/>
          <c:order val="4"/>
          <c:tx>
            <c:strRef>
              <c:f>'NOVO LAYOUT (2)'!$A$6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5F-4361-B3D9-B05AC012319D}"/>
            </c:ext>
          </c:extLst>
        </c:ser>
        <c:ser>
          <c:idx val="5"/>
          <c:order val="5"/>
          <c:tx>
            <c:strRef>
              <c:f>'NOVO LAYOUT (2)'!$A$7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5F-4361-B3D9-B05AC012319D}"/>
            </c:ext>
          </c:extLst>
        </c:ser>
        <c:ser>
          <c:idx val="6"/>
          <c:order val="6"/>
          <c:tx>
            <c:strRef>
              <c:f>'NOVO LAYOUT (2)'!$A$8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(2)'!$B$8:$E$8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5F-4361-B3D9-B05AC012319D}"/>
            </c:ext>
          </c:extLst>
        </c:ser>
        <c:ser>
          <c:idx val="7"/>
          <c:order val="7"/>
          <c:tx>
            <c:strRef>
              <c:f>'NOVO LAYOUT (2)'!$A$9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(2)'!$B$9:$E$9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5F-4361-B3D9-B05AC012319D}"/>
            </c:ext>
          </c:extLst>
        </c:ser>
        <c:ser>
          <c:idx val="8"/>
          <c:order val="8"/>
          <c:tx>
            <c:strRef>
              <c:f>'NOVO LAYOUT (2)'!$A$10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(2)'!$B$10:$E$10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5F-4361-B3D9-B05AC012319D}"/>
            </c:ext>
          </c:extLst>
        </c:ser>
        <c:ser>
          <c:idx val="9"/>
          <c:order val="9"/>
          <c:tx>
            <c:strRef>
              <c:f>'NOVO LAYOUT (2)'!$A$11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5F-4361-B3D9-B05AC012319D}"/>
            </c:ext>
          </c:extLst>
        </c:ser>
        <c:ser>
          <c:idx val="10"/>
          <c:order val="10"/>
          <c:tx>
            <c:strRef>
              <c:f>'NOVO LAYOUT (2)'!$A$12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(2)'!$B$12:$E$12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5F-4361-B3D9-B05AC012319D}"/>
            </c:ext>
          </c:extLst>
        </c:ser>
        <c:ser>
          <c:idx val="11"/>
          <c:order val="11"/>
          <c:tx>
            <c:strRef>
              <c:f>'NOVO LAYOUT (2)'!$A$13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(2)'!$B$13:$E$13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5F-4361-B3D9-B05AC012319D}"/>
            </c:ext>
          </c:extLst>
        </c:ser>
        <c:ser>
          <c:idx val="12"/>
          <c:order val="12"/>
          <c:tx>
            <c:strRef>
              <c:f>'NOVO LAYOUT (2)'!$A$14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(2)'!$B$14:$E$14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5F-4361-B3D9-B05AC012319D}"/>
            </c:ext>
          </c:extLst>
        </c:ser>
        <c:ser>
          <c:idx val="13"/>
          <c:order val="13"/>
          <c:tx>
            <c:strRef>
              <c:f>'NOVO LAYOUT (2)'!$A$15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(2)'!$B$15:$E$15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5F-4361-B3D9-B05AC012319D}"/>
            </c:ext>
          </c:extLst>
        </c:ser>
        <c:ser>
          <c:idx val="14"/>
          <c:order val="14"/>
          <c:tx>
            <c:strRef>
              <c:f>'NOVO LAYOUT (2)'!$A$16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(2)'!$B$16:$E$16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5F-4361-B3D9-B05AC012319D}"/>
            </c:ext>
          </c:extLst>
        </c:ser>
        <c:ser>
          <c:idx val="15"/>
          <c:order val="15"/>
          <c:tx>
            <c:strRef>
              <c:f>'NOVO LAYOUT (2)'!$A$17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95F-4361-B3D9-B05AC012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'NOVO LAYOUT (2)'!$A$18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'NOVO LAYOUT (2)'!$B$1:$E$1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(2)'!$B$18:$E$18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95F-4361-B3D9-B05AC012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'NOVO LAYOUT - 3 OP CEN 2'!$A$2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2'!$B$2:$E$2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A-4246-B3B3-5FF392039FE9}"/>
            </c:ext>
          </c:extLst>
        </c:ser>
        <c:ser>
          <c:idx val="1"/>
          <c:order val="1"/>
          <c:tx>
            <c:strRef>
              <c:f>'NOVO LAYOUT - 3 OP CEN 2'!$A$3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2'!$B$3:$E$3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A-4246-B3B3-5FF392039FE9}"/>
            </c:ext>
          </c:extLst>
        </c:ser>
        <c:ser>
          <c:idx val="2"/>
          <c:order val="2"/>
          <c:tx>
            <c:strRef>
              <c:f>'NOVO LAYOUT - 3 OP CEN 2'!$A$4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A-4246-B3B3-5FF392039FE9}"/>
            </c:ext>
          </c:extLst>
        </c:ser>
        <c:ser>
          <c:idx val="3"/>
          <c:order val="3"/>
          <c:tx>
            <c:strRef>
              <c:f>'NOVO LAYOUT - 3 OP CEN 2'!$A$5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2'!$B$5:$E$5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BA-4246-B3B3-5FF392039FE9}"/>
            </c:ext>
          </c:extLst>
        </c:ser>
        <c:ser>
          <c:idx val="4"/>
          <c:order val="4"/>
          <c:tx>
            <c:strRef>
              <c:f>'NOVO LAYOUT - 3 OP CEN 2'!$A$6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2'!$B$6:$E$6</c:f>
            </c:numRef>
          </c:val>
          <c:extLst>
            <c:ext xmlns:c16="http://schemas.microsoft.com/office/drawing/2014/chart" uri="{C3380CC4-5D6E-409C-BE32-E72D297353CC}">
              <c16:uniqueId val="{00000004-10BA-4246-B3B3-5FF392039FE9}"/>
            </c:ext>
          </c:extLst>
        </c:ser>
        <c:ser>
          <c:idx val="5"/>
          <c:order val="5"/>
          <c:tx>
            <c:strRef>
              <c:f>'NOVO LAYOUT - 3 OP CEN 2'!$A$7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BA-4246-B3B3-5FF392039FE9}"/>
            </c:ext>
          </c:extLst>
        </c:ser>
        <c:ser>
          <c:idx val="6"/>
          <c:order val="6"/>
          <c:tx>
            <c:strRef>
              <c:f>'NOVO LAYOUT - 3 OP CEN 2'!$A$8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BA-4246-B3B3-5FF392039FE9}"/>
            </c:ext>
          </c:extLst>
        </c:ser>
        <c:ser>
          <c:idx val="7"/>
          <c:order val="7"/>
          <c:tx>
            <c:strRef>
              <c:f>'NOVO LAYOUT - 3 OP CEN 2'!$A$9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2'!$B$9:$E$9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BA-4246-B3B3-5FF392039FE9}"/>
            </c:ext>
          </c:extLst>
        </c:ser>
        <c:ser>
          <c:idx val="8"/>
          <c:order val="8"/>
          <c:tx>
            <c:strRef>
              <c:f>'NOVO LAYOUT - 3 OP CEN 2'!$A$10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2'!$B$10:$E$10</c:f>
              <c:numCache>
                <c:formatCode>General</c:formatCode>
                <c:ptCount val="4"/>
                <c:pt idx="0">
                  <c:v>4.8600000000000003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BA-4246-B3B3-5FF392039FE9}"/>
            </c:ext>
          </c:extLst>
        </c:ser>
        <c:ser>
          <c:idx val="9"/>
          <c:order val="9"/>
          <c:tx>
            <c:strRef>
              <c:f>'NOVO LAYOUT - 3 OP CEN 2'!$A$11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2'!$B$11:$E$11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BA-4246-B3B3-5FF392039FE9}"/>
            </c:ext>
          </c:extLst>
        </c:ser>
        <c:ser>
          <c:idx val="10"/>
          <c:order val="10"/>
          <c:tx>
            <c:strRef>
              <c:f>'NOVO LAYOUT - 3 OP CEN 2'!$A$12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2'!$B$12:$E$12</c:f>
              <c:numCache>
                <c:formatCode>General</c:formatCode>
                <c:ptCount val="4"/>
                <c:pt idx="0">
                  <c:v>0</c:v>
                </c:pt>
                <c:pt idx="1">
                  <c:v>4.5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BA-4246-B3B3-5FF392039FE9}"/>
            </c:ext>
          </c:extLst>
        </c:ser>
        <c:ser>
          <c:idx val="11"/>
          <c:order val="11"/>
          <c:tx>
            <c:strRef>
              <c:f>'NOVO LAYOUT - 3 OP CEN 2'!$A$13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2'!$B$13:$E$13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BA-4246-B3B3-5FF392039FE9}"/>
            </c:ext>
          </c:extLst>
        </c:ser>
        <c:ser>
          <c:idx val="12"/>
          <c:order val="12"/>
          <c:tx>
            <c:strRef>
              <c:f>'NOVO LAYOUT - 3 OP CEN 2'!$A$14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2'!$B$14:$E$14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BA-4246-B3B3-5FF392039FE9}"/>
            </c:ext>
          </c:extLst>
        </c:ser>
        <c:ser>
          <c:idx val="13"/>
          <c:order val="13"/>
          <c:tx>
            <c:strRef>
              <c:f>'NOVO LAYOUT - 3 OP CEN 2'!$A$15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2'!$B$15:$E$15</c:f>
              <c:numCache>
                <c:formatCode>General</c:formatCode>
                <c:ptCount val="4"/>
                <c:pt idx="0">
                  <c:v>0</c:v>
                </c:pt>
                <c:pt idx="1">
                  <c:v>5.25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BA-4246-B3B3-5FF392039FE9}"/>
            </c:ext>
          </c:extLst>
        </c:ser>
        <c:ser>
          <c:idx val="14"/>
          <c:order val="14"/>
          <c:tx>
            <c:strRef>
              <c:f>'NOVO LAYOUT - 3 OP CEN 2'!$A$16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2'!$B$16:$E$16</c:f>
              <c:numCache>
                <c:formatCode>General</c:formatCode>
                <c:ptCount val="4"/>
                <c:pt idx="0">
                  <c:v>0</c:v>
                </c:pt>
                <c:pt idx="1">
                  <c:v>2.25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BA-4246-B3B3-5FF392039FE9}"/>
            </c:ext>
          </c:extLst>
        </c:ser>
        <c:ser>
          <c:idx val="15"/>
          <c:order val="15"/>
          <c:tx>
            <c:strRef>
              <c:f>'NOVO LAYOUT - 3 OP CEN 2'!$A$17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2'!$B$17:$E$17</c:f>
              <c:numCache>
                <c:formatCode>General</c:formatCode>
                <c:ptCount val="4"/>
                <c:pt idx="0">
                  <c:v>0</c:v>
                </c:pt>
                <c:pt idx="1">
                  <c:v>1.6666666000000001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BA-4246-B3B3-5FF392039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'NOVO LAYOUT - 3 OP CEN 2'!$A$18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2'!$B$18:$E$18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BA-4246-B3B3-5FF392039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'NOVO LAYOUT CENARIO 3 OP'!$A$2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OP'!$B$2:$E$2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E-41B5-8EA6-C0F82D42C2D2}"/>
            </c:ext>
          </c:extLst>
        </c:ser>
        <c:ser>
          <c:idx val="1"/>
          <c:order val="1"/>
          <c:tx>
            <c:strRef>
              <c:f>'NOVO LAYOUT CENARIO 3 OP'!$A$3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OP'!$B$3:$E$3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E-41B5-8EA6-C0F82D42C2D2}"/>
            </c:ext>
          </c:extLst>
        </c:ser>
        <c:ser>
          <c:idx val="2"/>
          <c:order val="2"/>
          <c:tx>
            <c:strRef>
              <c:f>'NOVO LAYOUT CENARIO 3 OP'!$A$4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E-41B5-8EA6-C0F82D42C2D2}"/>
            </c:ext>
          </c:extLst>
        </c:ser>
        <c:ser>
          <c:idx val="3"/>
          <c:order val="3"/>
          <c:tx>
            <c:strRef>
              <c:f>'NOVO LAYOUT CENARIO 3 OP'!$A$5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9E-41B5-8EA6-C0F82D42C2D2}"/>
            </c:ext>
          </c:extLst>
        </c:ser>
        <c:ser>
          <c:idx val="4"/>
          <c:order val="4"/>
          <c:tx>
            <c:strRef>
              <c:f>'NOVO LAYOUT CENARIO 3 OP'!$A$6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OP'!$B$6:$E$6</c:f>
            </c:numRef>
          </c:val>
          <c:extLst>
            <c:ext xmlns:c16="http://schemas.microsoft.com/office/drawing/2014/chart" uri="{C3380CC4-5D6E-409C-BE32-E72D297353CC}">
              <c16:uniqueId val="{00000004-6C9E-41B5-8EA6-C0F82D42C2D2}"/>
            </c:ext>
          </c:extLst>
        </c:ser>
        <c:ser>
          <c:idx val="5"/>
          <c:order val="5"/>
          <c:tx>
            <c:strRef>
              <c:f>'NOVO LAYOUT CENARIO 3 OP'!$A$7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9E-41B5-8EA6-C0F82D42C2D2}"/>
            </c:ext>
          </c:extLst>
        </c:ser>
        <c:ser>
          <c:idx val="6"/>
          <c:order val="6"/>
          <c:tx>
            <c:strRef>
              <c:f>'NOVO LAYOUT CENARIO 3 OP'!$A$8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9E-41B5-8EA6-C0F82D42C2D2}"/>
            </c:ext>
          </c:extLst>
        </c:ser>
        <c:ser>
          <c:idx val="7"/>
          <c:order val="7"/>
          <c:tx>
            <c:strRef>
              <c:f>'NOVO LAYOUT CENARIO 3 OP'!$A$9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OP'!$B$9:$E$9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9E-41B5-8EA6-C0F82D42C2D2}"/>
            </c:ext>
          </c:extLst>
        </c:ser>
        <c:ser>
          <c:idx val="8"/>
          <c:order val="8"/>
          <c:tx>
            <c:strRef>
              <c:f>'NOVO LAYOUT CENARIO 3 OP'!$A$10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OP'!$B$10:$E$10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4.8600000000000003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9E-41B5-8EA6-C0F82D42C2D2}"/>
            </c:ext>
          </c:extLst>
        </c:ser>
        <c:ser>
          <c:idx val="9"/>
          <c:order val="9"/>
          <c:tx>
            <c:strRef>
              <c:f>'NOVO LAYOUT CENARIO 3 OP'!$A$11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OP'!$B$11:$E$11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9E-41B5-8EA6-C0F82D42C2D2}"/>
            </c:ext>
          </c:extLst>
        </c:ser>
        <c:ser>
          <c:idx val="10"/>
          <c:order val="10"/>
          <c:tx>
            <c:strRef>
              <c:f>'NOVO LAYOUT CENARIO 3 OP'!$A$12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OP'!$B$12:$E$12</c:f>
              <c:numCache>
                <c:formatCode>General</c:formatCode>
                <c:ptCount val="4"/>
                <c:pt idx="0">
                  <c:v>0</c:v>
                </c:pt>
                <c:pt idx="1">
                  <c:v>4.5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9E-41B5-8EA6-C0F82D42C2D2}"/>
            </c:ext>
          </c:extLst>
        </c:ser>
        <c:ser>
          <c:idx val="11"/>
          <c:order val="11"/>
          <c:tx>
            <c:strRef>
              <c:f>'NOVO LAYOUT CENARIO 3 OP'!$A$13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OP'!$B$13:$E$13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9E-41B5-8EA6-C0F82D42C2D2}"/>
            </c:ext>
          </c:extLst>
        </c:ser>
        <c:ser>
          <c:idx val="12"/>
          <c:order val="12"/>
          <c:tx>
            <c:strRef>
              <c:f>'NOVO LAYOUT CENARIO 3 OP'!$A$14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OP'!$B$14:$E$14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9E-41B5-8EA6-C0F82D42C2D2}"/>
            </c:ext>
          </c:extLst>
        </c:ser>
        <c:ser>
          <c:idx val="13"/>
          <c:order val="13"/>
          <c:tx>
            <c:strRef>
              <c:f>'NOVO LAYOUT CENARIO 3 OP'!$A$15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OP'!$B$15:$E$15</c:f>
              <c:numCache>
                <c:formatCode>General</c:formatCode>
                <c:ptCount val="4"/>
                <c:pt idx="0">
                  <c:v>5.25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9E-41B5-8EA6-C0F82D42C2D2}"/>
            </c:ext>
          </c:extLst>
        </c:ser>
        <c:ser>
          <c:idx val="14"/>
          <c:order val="14"/>
          <c:tx>
            <c:strRef>
              <c:f>'NOVO LAYOUT CENARIO 3 OP'!$A$16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OP'!$B$16:$E$16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9E-41B5-8EA6-C0F82D42C2D2}"/>
            </c:ext>
          </c:extLst>
        </c:ser>
        <c:ser>
          <c:idx val="15"/>
          <c:order val="15"/>
          <c:tx>
            <c:strRef>
              <c:f>'NOVO LAYOUT CENARIO 3 OP'!$A$17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OP'!$B$17:$E$17</c:f>
              <c:numCache>
                <c:formatCode>General</c:formatCode>
                <c:ptCount val="4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C9E-41B5-8EA6-C0F82D42C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'NOVO LAYOUT CENARIO 3 OP'!$A$18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OP'!$B$18:$E$18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9E-41B5-8EA6-C0F82D42C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'CENÁRIO 3'!$A$2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3'!$B$2:$E$2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E-4514-BA5A-3D6BAFA48CEF}"/>
            </c:ext>
          </c:extLst>
        </c:ser>
        <c:ser>
          <c:idx val="1"/>
          <c:order val="1"/>
          <c:tx>
            <c:strRef>
              <c:f>'CENÁRIO 3'!$A$3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3'!$B$3:$E$3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E-4514-BA5A-3D6BAFA48CEF}"/>
            </c:ext>
          </c:extLst>
        </c:ser>
        <c:ser>
          <c:idx val="2"/>
          <c:order val="2"/>
          <c:tx>
            <c:strRef>
              <c:f>'CENÁRIO 3'!$A$4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E-4514-BA5A-3D6BAFA48CEF}"/>
            </c:ext>
          </c:extLst>
        </c:ser>
        <c:ser>
          <c:idx val="3"/>
          <c:order val="3"/>
          <c:tx>
            <c:strRef>
              <c:f>'CENÁRIO 3'!$A$5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3'!$B$5:$E$5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E-4514-BA5A-3D6BAFA48CEF}"/>
            </c:ext>
          </c:extLst>
        </c:ser>
        <c:ser>
          <c:idx val="4"/>
          <c:order val="4"/>
          <c:tx>
            <c:strRef>
              <c:f>'CENÁRIO 3'!$A$6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4E-4514-BA5A-3D6BAFA48CEF}"/>
            </c:ext>
          </c:extLst>
        </c:ser>
        <c:ser>
          <c:idx val="5"/>
          <c:order val="5"/>
          <c:tx>
            <c:strRef>
              <c:f>'CENÁRIO 3'!$A$7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3'!$B$7:$E$7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4E-4514-BA5A-3D6BAFA48CEF}"/>
            </c:ext>
          </c:extLst>
        </c:ser>
        <c:ser>
          <c:idx val="6"/>
          <c:order val="6"/>
          <c:tx>
            <c:strRef>
              <c:f>'CENÁRIO 3'!$A$8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3'!$B$8:$E$8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4E-4514-BA5A-3D6BAFA48CEF}"/>
            </c:ext>
          </c:extLst>
        </c:ser>
        <c:ser>
          <c:idx val="7"/>
          <c:order val="7"/>
          <c:tx>
            <c:strRef>
              <c:f>'CENÁRIO 3'!$A$9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3'!$B$9:$E$9</c:f>
              <c:numCache>
                <c:formatCode>General</c:formatCode>
                <c:ptCount val="4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4E-4514-BA5A-3D6BAFA48CEF}"/>
            </c:ext>
          </c:extLst>
        </c:ser>
        <c:ser>
          <c:idx val="8"/>
          <c:order val="8"/>
          <c:tx>
            <c:strRef>
              <c:f>'CENÁRIO 3'!$A$10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3'!$B$10:$E$10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4E-4514-BA5A-3D6BAFA48CEF}"/>
            </c:ext>
          </c:extLst>
        </c:ser>
        <c:ser>
          <c:idx val="9"/>
          <c:order val="9"/>
          <c:tx>
            <c:strRef>
              <c:f>'CENÁRIO 3'!$A$11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3'!$B$11:$E$11</c:f>
              <c:numCache>
                <c:formatCode>General</c:formatCode>
                <c:ptCount val="4"/>
                <c:pt idx="0">
                  <c:v>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4E-4514-BA5A-3D6BAFA48CEF}"/>
            </c:ext>
          </c:extLst>
        </c:ser>
        <c:ser>
          <c:idx val="10"/>
          <c:order val="10"/>
          <c:tx>
            <c:strRef>
              <c:f>'CENÁRIO 3'!$A$12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3'!$B$12:$E$12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4E-4514-BA5A-3D6BAFA48CEF}"/>
            </c:ext>
          </c:extLst>
        </c:ser>
        <c:ser>
          <c:idx val="11"/>
          <c:order val="11"/>
          <c:tx>
            <c:strRef>
              <c:f>'CENÁRIO 3'!$A$13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3'!$B$13:$E$13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14E-4514-BA5A-3D6BAFA48CEF}"/>
            </c:ext>
          </c:extLst>
        </c:ser>
        <c:ser>
          <c:idx val="12"/>
          <c:order val="12"/>
          <c:tx>
            <c:strRef>
              <c:f>'CENÁRIO 3'!$A$14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3'!$B$14:$E$14</c:f>
              <c:numCache>
                <c:formatCode>General</c:formatCode>
                <c:ptCount val="4"/>
                <c:pt idx="0">
                  <c:v>5.25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4E-4514-BA5A-3D6BAFA48CEF}"/>
            </c:ext>
          </c:extLst>
        </c:ser>
        <c:ser>
          <c:idx val="13"/>
          <c:order val="13"/>
          <c:tx>
            <c:strRef>
              <c:f>'CENÁRIO 3'!$A$15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3'!$B$15:$E$15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14E-4514-BA5A-3D6BAFA48CEF}"/>
            </c:ext>
          </c:extLst>
        </c:ser>
        <c:ser>
          <c:idx val="14"/>
          <c:order val="14"/>
          <c:tx>
            <c:strRef>
              <c:f>'CENÁRIO 3'!$A$16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3'!$B$16:$E$16</c:f>
              <c:numCache>
                <c:formatCode>General</c:formatCode>
                <c:ptCount val="4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14E-4514-BA5A-3D6BAFA48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5"/>
          <c:order val="15"/>
          <c:tx>
            <c:strRef>
              <c:f>'CENÁRIO 3'!$A$17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3'!$B$17:$E$17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4E-4514-BA5A-3D6BAFA48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2'!$B$2:$E$2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D25-4A0C-80F8-0DB0B5F2FA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2'!$B$3:$E$3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D25-4A0C-80F8-0DB0B5F2FAB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D25-4A0C-80F8-0DB0B5F2FAB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8D25-4A0C-80F8-0DB0B5F2FAB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8D25-4A0C-80F8-0DB0B5F2FAB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8D25-4A0C-80F8-0DB0B5F2FAB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2'!$B$8:$E$8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8D25-4A0C-80F8-0DB0B5F2FAB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2'!$B$9:$E$9</c:f>
              <c:numCache>
                <c:formatCode>General</c:formatCode>
                <c:ptCount val="4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8D25-4A0C-80F8-0DB0B5F2FAB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2'!$B$10:$E$10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8D25-4A0C-80F8-0DB0B5F2FAB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2'!$B$11:$E$11</c:f>
              <c:numCache>
                <c:formatCode>General</c:formatCode>
                <c:ptCount val="4"/>
                <c:pt idx="0">
                  <c:v>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8D25-4A0C-80F8-0DB0B5F2FAB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2'!$B$12:$E$12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8D25-4A0C-80F8-0DB0B5F2FAB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2'!$B$13:$E$13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8D25-4A0C-80F8-0DB0B5F2FAB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2'!$B$14:$E$14</c:f>
              <c:numCache>
                <c:formatCode>General</c:formatCode>
                <c:ptCount val="4"/>
                <c:pt idx="0">
                  <c:v>5.25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8D25-4A0C-80F8-0DB0B5F2FAB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2'!$B$15:$E$15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8D25-4A0C-80F8-0DB0B5F2FAB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2'!$B$16:$E$16</c:f>
              <c:numCache>
                <c:formatCode>General</c:formatCode>
                <c:ptCount val="4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E-8D25-4A0C-80F8-0DB0B5F2F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2'!$B$17:$E$17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F-8D25-4A0C-80F8-0DB0B5F2F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'CENÁRIO 1'!$A$2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1'!$B$2:$E$2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3-442F-8CCA-7C0572645EDF}"/>
            </c:ext>
          </c:extLst>
        </c:ser>
        <c:ser>
          <c:idx val="1"/>
          <c:order val="1"/>
          <c:tx>
            <c:strRef>
              <c:f>'CENÁRIO 1'!$A$3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1'!$B$3:$E$3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3-442F-8CCA-7C0572645EDF}"/>
            </c:ext>
          </c:extLst>
        </c:ser>
        <c:ser>
          <c:idx val="2"/>
          <c:order val="2"/>
          <c:tx>
            <c:strRef>
              <c:f>'CENÁRIO 1'!$A$4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3-442F-8CCA-7C0572645EDF}"/>
            </c:ext>
          </c:extLst>
        </c:ser>
        <c:ser>
          <c:idx val="3"/>
          <c:order val="3"/>
          <c:tx>
            <c:strRef>
              <c:f>'CENÁRIO 1'!$A$5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1'!$B$5:$E$5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3-442F-8CCA-7C0572645EDF}"/>
            </c:ext>
          </c:extLst>
        </c:ser>
        <c:ser>
          <c:idx val="4"/>
          <c:order val="4"/>
          <c:tx>
            <c:strRef>
              <c:f>'CENÁRIO 1'!$A$6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3-442F-8CCA-7C0572645EDF}"/>
            </c:ext>
          </c:extLst>
        </c:ser>
        <c:ser>
          <c:idx val="5"/>
          <c:order val="5"/>
          <c:tx>
            <c:strRef>
              <c:f>'CENÁRIO 1'!$A$7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33-442F-8CCA-7C0572645EDF}"/>
            </c:ext>
          </c:extLst>
        </c:ser>
        <c:ser>
          <c:idx val="6"/>
          <c:order val="6"/>
          <c:tx>
            <c:strRef>
              <c:f>'CENÁRIO 1'!$A$8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1'!$B$8:$E$8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33-442F-8CCA-7C0572645EDF}"/>
            </c:ext>
          </c:extLst>
        </c:ser>
        <c:ser>
          <c:idx val="7"/>
          <c:order val="7"/>
          <c:tx>
            <c:strRef>
              <c:f>'CENÁRIO 1'!$A$9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1'!$B$9:$E$9</c:f>
              <c:numCache>
                <c:formatCode>General</c:formatCode>
                <c:ptCount val="4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33-442F-8CCA-7C0572645EDF}"/>
            </c:ext>
          </c:extLst>
        </c:ser>
        <c:ser>
          <c:idx val="8"/>
          <c:order val="8"/>
          <c:tx>
            <c:strRef>
              <c:f>'CENÁRIO 1'!$A$10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1'!$B$10:$E$10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33-442F-8CCA-7C0572645EDF}"/>
            </c:ext>
          </c:extLst>
        </c:ser>
        <c:ser>
          <c:idx val="9"/>
          <c:order val="9"/>
          <c:tx>
            <c:strRef>
              <c:f>'CENÁRIO 1'!$A$11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1'!$B$11:$E$11</c:f>
              <c:numCache>
                <c:formatCode>General</c:formatCode>
                <c:ptCount val="4"/>
                <c:pt idx="0">
                  <c:v>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33-442F-8CCA-7C0572645EDF}"/>
            </c:ext>
          </c:extLst>
        </c:ser>
        <c:ser>
          <c:idx val="10"/>
          <c:order val="10"/>
          <c:tx>
            <c:strRef>
              <c:f>'CENÁRIO 1'!$A$12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1'!$B$12:$E$12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33-442F-8CCA-7C0572645EDF}"/>
            </c:ext>
          </c:extLst>
        </c:ser>
        <c:ser>
          <c:idx val="11"/>
          <c:order val="11"/>
          <c:tx>
            <c:strRef>
              <c:f>'CENÁRIO 1'!$A$13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1'!$B$13:$E$13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E33-442F-8CCA-7C0572645EDF}"/>
            </c:ext>
          </c:extLst>
        </c:ser>
        <c:ser>
          <c:idx val="12"/>
          <c:order val="12"/>
          <c:tx>
            <c:strRef>
              <c:f>'CENÁRIO 1'!$A$14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1'!$B$14:$E$14</c:f>
              <c:numCache>
                <c:formatCode>General</c:formatCode>
                <c:ptCount val="4"/>
                <c:pt idx="0">
                  <c:v>5.25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E33-442F-8CCA-7C0572645EDF}"/>
            </c:ext>
          </c:extLst>
        </c:ser>
        <c:ser>
          <c:idx val="13"/>
          <c:order val="13"/>
          <c:tx>
            <c:strRef>
              <c:f>'CENÁRIO 1'!$A$15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1'!$B$15:$E$15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E33-442F-8CCA-7C0572645EDF}"/>
            </c:ext>
          </c:extLst>
        </c:ser>
        <c:ser>
          <c:idx val="14"/>
          <c:order val="14"/>
          <c:tx>
            <c:strRef>
              <c:f>'CENÁRIO 1'!$A$16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1'!$B$16:$E$16</c:f>
              <c:numCache>
                <c:formatCode>General</c:formatCode>
                <c:ptCount val="4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33-442F-8CCA-7C057264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5"/>
          <c:order val="15"/>
          <c:tx>
            <c:strRef>
              <c:f>'CENÁRIO 1'!$A$17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1'!$B$17:$E$17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E33-442F-8CCA-7C057264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OPERAÇÃO!$A$2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OPERAÇÃO!$B$2:$F$2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5-4CA0-B75F-BB6DA452628B}"/>
            </c:ext>
          </c:extLst>
        </c:ser>
        <c:ser>
          <c:idx val="1"/>
          <c:order val="1"/>
          <c:tx>
            <c:strRef>
              <c:f>OPERAÇÃO!$A$3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OPERAÇÃO!$B$3:$F$3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5-4CA0-B75F-BB6DA452628B}"/>
            </c:ext>
          </c:extLst>
        </c:ser>
        <c:ser>
          <c:idx val="2"/>
          <c:order val="2"/>
          <c:tx>
            <c:strRef>
              <c:f>OPERAÇÃO!$A$4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5-4CA0-B75F-BB6DA452628B}"/>
            </c:ext>
          </c:extLst>
        </c:ser>
        <c:ser>
          <c:idx val="3"/>
          <c:order val="3"/>
          <c:tx>
            <c:strRef>
              <c:f>OPERAÇÃO!$A$5</c:f>
              <c:strCache>
                <c:ptCount val="1"/>
                <c:pt idx="0">
                  <c:v>LAMINAÇÃO ROSCA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5-4CA0-B75F-BB6DA452628B}"/>
            </c:ext>
          </c:extLst>
        </c:ser>
        <c:ser>
          <c:idx val="4"/>
          <c:order val="4"/>
          <c:tx>
            <c:strRef>
              <c:f>OPERAÇÃO!$A$6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5-4CA0-B75F-BB6DA452628B}"/>
            </c:ext>
          </c:extLst>
        </c:ser>
        <c:ser>
          <c:idx val="5"/>
          <c:order val="5"/>
          <c:tx>
            <c:strRef>
              <c:f>OPERAÇÃO!$A$7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5-4CA0-B75F-BB6DA452628B}"/>
            </c:ext>
          </c:extLst>
        </c:ser>
        <c:ser>
          <c:idx val="6"/>
          <c:order val="6"/>
          <c:tx>
            <c:strRef>
              <c:f>OPERAÇÃO!$A$8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5-4CA0-B75F-BB6DA452628B}"/>
            </c:ext>
          </c:extLst>
        </c:ser>
        <c:ser>
          <c:idx val="7"/>
          <c:order val="7"/>
          <c:tx>
            <c:strRef>
              <c:f>OPERAÇÃO!$A$9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5-4CA0-B75F-BB6DA452628B}"/>
            </c:ext>
          </c:extLst>
        </c:ser>
        <c:ser>
          <c:idx val="8"/>
          <c:order val="8"/>
          <c:tx>
            <c:strRef>
              <c:f>OPERAÇÃO!$A$10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OPERAÇÃO!$B$10:$F$10</c:f>
              <c:numCache>
                <c:formatCode>General</c:formatCode>
                <c:ptCount val="5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5-4CA0-B75F-BB6DA452628B}"/>
            </c:ext>
          </c:extLst>
        </c:ser>
        <c:ser>
          <c:idx val="9"/>
          <c:order val="9"/>
          <c:tx>
            <c:strRef>
              <c:f>OPERAÇÃO!$A$11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OPERAÇÃO!$B$11:$F$11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85-4CA0-B75F-BB6DA452628B}"/>
            </c:ext>
          </c:extLst>
        </c:ser>
        <c:ser>
          <c:idx val="10"/>
          <c:order val="10"/>
          <c:tx>
            <c:strRef>
              <c:f>OPERAÇÃO!$A$12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OPERAÇÃO!$B$12:$F$12</c:f>
              <c:numCache>
                <c:formatCode>General</c:formatCode>
                <c:ptCount val="5"/>
                <c:pt idx="0">
                  <c:v>0</c:v>
                </c:pt>
                <c:pt idx="1">
                  <c:v>4.5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85-4CA0-B75F-BB6DA452628B}"/>
            </c:ext>
          </c:extLst>
        </c:ser>
        <c:ser>
          <c:idx val="11"/>
          <c:order val="11"/>
          <c:tx>
            <c:strRef>
              <c:f>OPERAÇÃO!$A$13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85-4CA0-B75F-BB6DA452628B}"/>
            </c:ext>
          </c:extLst>
        </c:ser>
        <c:ser>
          <c:idx val="12"/>
          <c:order val="12"/>
          <c:tx>
            <c:strRef>
              <c:f>OPERAÇÃO!$A$14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85-4CA0-B75F-BB6DA452628B}"/>
            </c:ext>
          </c:extLst>
        </c:ser>
        <c:ser>
          <c:idx val="13"/>
          <c:order val="13"/>
          <c:tx>
            <c:strRef>
              <c:f>OPERAÇÃO!$A$15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85-4CA0-B75F-BB6DA452628B}"/>
            </c:ext>
          </c:extLst>
        </c:ser>
        <c:ser>
          <c:idx val="14"/>
          <c:order val="14"/>
          <c:tx>
            <c:strRef>
              <c:f>OPERAÇÃO!$A$16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85-4CA0-B75F-BB6DA452628B}"/>
            </c:ext>
          </c:extLst>
        </c:ser>
        <c:ser>
          <c:idx val="15"/>
          <c:order val="15"/>
          <c:tx>
            <c:strRef>
              <c:f>OPERAÇÃO!$A$17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OPERAÇÃO!$B$17:$F$17</c:f>
              <c:numCache>
                <c:formatCode>General</c:formatCode>
                <c:ptCount val="5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85-4CA0-B75F-BB6DA452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OPERAÇÃO!$A$18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OPERAÇÃO!$B$18:$F$18</c:f>
              <c:numCache>
                <c:formatCode>General</c:formatCode>
                <c:ptCount val="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85-4CA0-B75F-BB6DA452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BALANCEADO!$A$2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BALANCEADO!$B$2:$F$2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E-42B3-B942-F338A5581503}"/>
            </c:ext>
          </c:extLst>
        </c:ser>
        <c:ser>
          <c:idx val="1"/>
          <c:order val="1"/>
          <c:tx>
            <c:strRef>
              <c:f>BALANCEADO!$A$3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BALANCEADO!$B$3:$F$3</c:f>
              <c:numCache>
                <c:formatCode>General</c:formatCode>
                <c:ptCount val="5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E-42B3-B942-F338A5581503}"/>
            </c:ext>
          </c:extLst>
        </c:ser>
        <c:ser>
          <c:idx val="2"/>
          <c:order val="2"/>
          <c:tx>
            <c:strRef>
              <c:f>BALANCEADO!$A$4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E-42B3-B942-F338A5581503}"/>
            </c:ext>
          </c:extLst>
        </c:ser>
        <c:ser>
          <c:idx val="3"/>
          <c:order val="3"/>
          <c:tx>
            <c:strRef>
              <c:f>BALANCEADO!$A$5</c:f>
              <c:strCache>
                <c:ptCount val="1"/>
                <c:pt idx="0">
                  <c:v>LAMINAÇÃO ROSCA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E-42B3-B942-F338A5581503}"/>
            </c:ext>
          </c:extLst>
        </c:ser>
        <c:ser>
          <c:idx val="4"/>
          <c:order val="4"/>
          <c:tx>
            <c:strRef>
              <c:f>BALANCEADO!$A$6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FE-42B3-B942-F338A5581503}"/>
            </c:ext>
          </c:extLst>
        </c:ser>
        <c:ser>
          <c:idx val="5"/>
          <c:order val="5"/>
          <c:tx>
            <c:strRef>
              <c:f>BALANCEADO!$A$7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FE-42B3-B942-F338A5581503}"/>
            </c:ext>
          </c:extLst>
        </c:ser>
        <c:ser>
          <c:idx val="6"/>
          <c:order val="6"/>
          <c:tx>
            <c:strRef>
              <c:f>BALANCEADO!$A$8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FE-42B3-B942-F338A5581503}"/>
            </c:ext>
          </c:extLst>
        </c:ser>
        <c:ser>
          <c:idx val="7"/>
          <c:order val="7"/>
          <c:tx>
            <c:strRef>
              <c:f>BALANCEADO!$A$9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FE-42B3-B942-F338A5581503}"/>
            </c:ext>
          </c:extLst>
        </c:ser>
        <c:ser>
          <c:idx val="8"/>
          <c:order val="8"/>
          <c:tx>
            <c:strRef>
              <c:f>BALANCEADO!$A$10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BALANCEADO!$B$10:$F$10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4.8600000000000003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FE-42B3-B942-F338A5581503}"/>
            </c:ext>
          </c:extLst>
        </c:ser>
        <c:ser>
          <c:idx val="9"/>
          <c:order val="9"/>
          <c:tx>
            <c:strRef>
              <c:f>BALANCEADO!$A$11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BALANCEADO!$B$11:$F$11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FE-42B3-B942-F338A5581503}"/>
            </c:ext>
          </c:extLst>
        </c:ser>
        <c:ser>
          <c:idx val="10"/>
          <c:order val="10"/>
          <c:tx>
            <c:strRef>
              <c:f>BALANCEADO!$A$12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FE-42B3-B942-F338A5581503}"/>
            </c:ext>
          </c:extLst>
        </c:ser>
        <c:ser>
          <c:idx val="11"/>
          <c:order val="11"/>
          <c:tx>
            <c:strRef>
              <c:f>BALANCEADO!$A$13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FE-42B3-B942-F338A5581503}"/>
            </c:ext>
          </c:extLst>
        </c:ser>
        <c:ser>
          <c:idx val="12"/>
          <c:order val="12"/>
          <c:tx>
            <c:strRef>
              <c:f>BALANCEADO!$A$14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FE-42B3-B942-F338A5581503}"/>
            </c:ext>
          </c:extLst>
        </c:ser>
        <c:ser>
          <c:idx val="13"/>
          <c:order val="13"/>
          <c:tx>
            <c:strRef>
              <c:f>BALANCEADO!$A$15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0FE-42B3-B942-F338A5581503}"/>
            </c:ext>
          </c:extLst>
        </c:ser>
        <c:ser>
          <c:idx val="14"/>
          <c:order val="14"/>
          <c:tx>
            <c:strRef>
              <c:f>BALANCEADO!$A$16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0FE-42B3-B942-F338A5581503}"/>
            </c:ext>
          </c:extLst>
        </c:ser>
        <c:ser>
          <c:idx val="15"/>
          <c:order val="15"/>
          <c:tx>
            <c:strRef>
              <c:f>BALANCEADO!$A$17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BALANCEADO!$B$17:$F$17</c:f>
              <c:numCache>
                <c:formatCode>General</c:formatCode>
                <c:ptCount val="5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0FE-42B3-B942-F338A5581503}"/>
            </c:ext>
          </c:extLst>
        </c:ser>
        <c:ser>
          <c:idx val="16"/>
          <c:order val="16"/>
          <c:tx>
            <c:strRef>
              <c:f>BALANCEADO!$A$18</c:f>
              <c:strCache>
                <c:ptCount val="1"/>
                <c:pt idx="0">
                  <c:v>INSPEÇÃO PINO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BALANCEADO!$B$18:$F$18</c:f>
              <c:numCache>
                <c:formatCode>General</c:formatCode>
                <c:ptCount val="5"/>
                <c:pt idx="0">
                  <c:v>1.0833333333333333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0FE-42B3-B942-F338A5581503}"/>
            </c:ext>
          </c:extLst>
        </c:ser>
        <c:ser>
          <c:idx val="17"/>
          <c:order val="17"/>
          <c:tx>
            <c:strRef>
              <c:f>BALANCEADO!$A$19</c:f>
              <c:strCache>
                <c:ptCount val="1"/>
                <c:pt idx="0">
                  <c:v>INSPEÇÃO EQUIPTOP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BALANCEADO!$B$19:$F$19</c:f>
              <c:numCache>
                <c:formatCode>General</c:formatCode>
                <c:ptCount val="5"/>
                <c:pt idx="0">
                  <c:v>0</c:v>
                </c:pt>
                <c:pt idx="1">
                  <c:v>1.36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5-4C4C-ABE7-8DE365308676}"/>
            </c:ext>
          </c:extLst>
        </c:ser>
        <c:ser>
          <c:idx val="18"/>
          <c:order val="18"/>
          <c:tx>
            <c:strRef>
              <c:f>BALANCEADO!$A$20</c:f>
              <c:strCache>
                <c:ptCount val="1"/>
                <c:pt idx="0">
                  <c:v>INSPEÇÃO CAIXA (1/25)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BALANCEADO!$B$20:$F$20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0.36666666666666664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5-4C4C-ABE7-8DE365308676}"/>
            </c:ext>
          </c:extLst>
        </c:ser>
        <c:ser>
          <c:idx val="19"/>
          <c:order val="19"/>
          <c:tx>
            <c:strRef>
              <c:f>BALANCEADO!$A$21</c:f>
              <c:strCache>
                <c:ptCount val="1"/>
                <c:pt idx="0">
                  <c:v>INSPEÇÃO CAIXA (1/50)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BALANCEADO!$B$21:$F$21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2.04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5-4C4C-ABE7-8DE365308676}"/>
            </c:ext>
          </c:extLst>
        </c:ser>
        <c:ser>
          <c:idx val="20"/>
          <c:order val="20"/>
          <c:tx>
            <c:strRef>
              <c:f>BALANCEADO!$A$22</c:f>
              <c:strCache>
                <c:ptCount val="1"/>
                <c:pt idx="0">
                  <c:v>INSPEÇÃO MONTAGEM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BALANCEADO!$B$22:$F$22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5-4C4C-ABE7-8DE365308676}"/>
            </c:ext>
          </c:extLst>
        </c:ser>
        <c:ser>
          <c:idx val="21"/>
          <c:order val="21"/>
          <c:tx>
            <c:strRef>
              <c:f>BALANCEADO!$A$23</c:f>
              <c:strCache>
                <c:ptCount val="1"/>
                <c:pt idx="0">
                  <c:v>PREENCHIMENTO DE DB 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BALANCEADO!$B$23:$F$23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5-4C4C-ABE7-8DE365308676}"/>
            </c:ext>
          </c:extLst>
        </c:ser>
        <c:ser>
          <c:idx val="22"/>
          <c:order val="22"/>
          <c:tx>
            <c:strRef>
              <c:f>BALANCEADO!$A$24</c:f>
              <c:strCache>
                <c:ptCount val="1"/>
                <c:pt idx="0">
                  <c:v>PREENCHIMENTO DE DB 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BALANCEADO!$B$24:$F$24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85-4C4C-ABE7-8DE365308676}"/>
            </c:ext>
          </c:extLst>
        </c:ser>
        <c:ser>
          <c:idx val="23"/>
          <c:order val="23"/>
          <c:tx>
            <c:strRef>
              <c:f>BALANCEADO!$A$25</c:f>
              <c:strCache>
                <c:ptCount val="1"/>
                <c:pt idx="0">
                  <c:v>PREENCHIMENTO DE DB 3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BALANCEADO!$B$25:$F$25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85-4C4C-ABE7-8DE365308676}"/>
            </c:ext>
          </c:extLst>
        </c:ser>
        <c:ser>
          <c:idx val="24"/>
          <c:order val="24"/>
          <c:tx>
            <c:strRef>
              <c:f>BALANCEADO!$A$26</c:f>
              <c:strCache>
                <c:ptCount val="1"/>
                <c:pt idx="0">
                  <c:v>PREENCHIMENTO DE DB 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BALANCEADO!$B$26:$F$26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85-4C4C-ABE7-8DE365308676}"/>
            </c:ext>
          </c:extLst>
        </c:ser>
        <c:ser>
          <c:idx val="25"/>
          <c:order val="25"/>
          <c:tx>
            <c:strRef>
              <c:f>BALANCEADO!$A$27</c:f>
              <c:strCache>
                <c:ptCount val="1"/>
                <c:pt idx="0">
                  <c:v>PREENCHIMENTO DE DB 5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BALANCEADO!$B$27:$F$27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85-4C4C-ABE7-8DE365308676}"/>
            </c:ext>
          </c:extLst>
        </c:ser>
        <c:ser>
          <c:idx val="26"/>
          <c:order val="26"/>
          <c:tx>
            <c:strRef>
              <c:f>BALANCEADO!$A$28</c:f>
              <c:strCache>
                <c:ptCount val="1"/>
                <c:pt idx="0">
                  <c:v>PREENCHIMENTO DE DB 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BALANCEADO!$B$28:$F$28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85-4C4C-ABE7-8DE365308676}"/>
            </c:ext>
          </c:extLst>
        </c:ser>
        <c:ser>
          <c:idx val="27"/>
          <c:order val="27"/>
          <c:tx>
            <c:strRef>
              <c:f>BALANCEADO!$A$29</c:f>
              <c:strCache>
                <c:ptCount val="1"/>
                <c:pt idx="0">
                  <c:v>ATUALIZAR QUADRO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BALANCEADO!$B$29:$F$29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7-4804-94C9-428EC371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28"/>
          <c:order val="28"/>
          <c:tx>
            <c:strRef>
              <c:f>BALANCEADO!$A$30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BALANCEADO!$B$30:$F$30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7-4804-94C9-428EC371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'ESTADO ATUAL'!$A$2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ATUAL'!$B$2:$F$2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7-4ECC-8EE9-00F9DC779B07}"/>
            </c:ext>
          </c:extLst>
        </c:ser>
        <c:ser>
          <c:idx val="1"/>
          <c:order val="1"/>
          <c:tx>
            <c:strRef>
              <c:f>'ESTADO ATUAL'!$A$3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ATUAL'!$B$3:$F$3</c:f>
              <c:numCache>
                <c:formatCode>General</c:formatCode>
                <c:ptCount val="5"/>
                <c:pt idx="0">
                  <c:v>0</c:v>
                </c:pt>
                <c:pt idx="1">
                  <c:v>6.666666666666667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7-4ECC-8EE9-00F9DC779B07}"/>
            </c:ext>
          </c:extLst>
        </c:ser>
        <c:ser>
          <c:idx val="2"/>
          <c:order val="2"/>
          <c:tx>
            <c:strRef>
              <c:f>'ESTADO ATUAL'!$A$4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7-4ECC-8EE9-00F9DC779B07}"/>
            </c:ext>
          </c:extLst>
        </c:ser>
        <c:ser>
          <c:idx val="3"/>
          <c:order val="3"/>
          <c:tx>
            <c:strRef>
              <c:f>'ESTADO ATUAL'!$A$5</c:f>
              <c:strCache>
                <c:ptCount val="1"/>
                <c:pt idx="0">
                  <c:v>LAMINAÇÃO ROSCA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C67-4ECC-8EE9-00F9DC779B07}"/>
            </c:ext>
          </c:extLst>
        </c:ser>
        <c:ser>
          <c:idx val="4"/>
          <c:order val="4"/>
          <c:tx>
            <c:strRef>
              <c:f>'ESTADO ATUAL'!$A$6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C67-4ECC-8EE9-00F9DC779B07}"/>
            </c:ext>
          </c:extLst>
        </c:ser>
        <c:ser>
          <c:idx val="5"/>
          <c:order val="5"/>
          <c:tx>
            <c:strRef>
              <c:f>'ESTADO ATUAL'!$A$7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8.2200000000000006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C67-4ECC-8EE9-00F9DC779B07}"/>
            </c:ext>
          </c:extLst>
        </c:ser>
        <c:ser>
          <c:idx val="6"/>
          <c:order val="6"/>
          <c:tx>
            <c:strRef>
              <c:f>'ESTADO ATUAL'!$A$8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C67-4ECC-8EE9-00F9DC779B07}"/>
            </c:ext>
          </c:extLst>
        </c:ser>
        <c:ser>
          <c:idx val="7"/>
          <c:order val="7"/>
          <c:tx>
            <c:strRef>
              <c:f>'ESTADO ATUAL'!$A$9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C67-4ECC-8EE9-00F9DC779B07}"/>
            </c:ext>
          </c:extLst>
        </c:ser>
        <c:ser>
          <c:idx val="8"/>
          <c:order val="8"/>
          <c:tx>
            <c:strRef>
              <c:f>'ESTADO ATUAL'!$A$10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ATUAL'!$B$10:$F$10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4.8600000000000003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C67-4ECC-8EE9-00F9DC779B07}"/>
            </c:ext>
          </c:extLst>
        </c:ser>
        <c:ser>
          <c:idx val="9"/>
          <c:order val="9"/>
          <c:tx>
            <c:strRef>
              <c:f>'ESTADO ATUAL'!$A$11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ATUAL'!$B$11:$F$11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C67-4ECC-8EE9-00F9DC779B07}"/>
            </c:ext>
          </c:extLst>
        </c:ser>
        <c:ser>
          <c:idx val="10"/>
          <c:order val="10"/>
          <c:tx>
            <c:strRef>
              <c:f>'ESTADO ATUAL'!$A$12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C67-4ECC-8EE9-00F9DC779B07}"/>
            </c:ext>
          </c:extLst>
        </c:ser>
        <c:ser>
          <c:idx val="11"/>
          <c:order val="11"/>
          <c:tx>
            <c:strRef>
              <c:f>'ESTADO ATUAL'!$A$13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C67-4ECC-8EE9-00F9DC779B07}"/>
            </c:ext>
          </c:extLst>
        </c:ser>
        <c:ser>
          <c:idx val="12"/>
          <c:order val="12"/>
          <c:tx>
            <c:strRef>
              <c:f>'ESTADO ATUAL'!$A$14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C67-4ECC-8EE9-00F9DC779B07}"/>
            </c:ext>
          </c:extLst>
        </c:ser>
        <c:ser>
          <c:idx val="13"/>
          <c:order val="13"/>
          <c:tx>
            <c:strRef>
              <c:f>'ESTADO ATUAL'!$A$15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C67-4ECC-8EE9-00F9DC779B07}"/>
            </c:ext>
          </c:extLst>
        </c:ser>
        <c:ser>
          <c:idx val="14"/>
          <c:order val="14"/>
          <c:tx>
            <c:strRef>
              <c:f>'ESTADO ATUAL'!$A$16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C67-4ECC-8EE9-00F9DC779B07}"/>
            </c:ext>
          </c:extLst>
        </c:ser>
        <c:ser>
          <c:idx val="15"/>
          <c:order val="15"/>
          <c:tx>
            <c:strRef>
              <c:f>'ESTADO ATUAL'!$A$17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ATUAL'!$B$17:$F$17</c:f>
              <c:numCache>
                <c:formatCode>General</c:formatCode>
                <c:ptCount val="5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C67-4ECC-8EE9-00F9DC779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'ESTADO ATUAL'!$A$18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ATUAL'!$B$18:$F$18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C67-4ECC-8EE9-00F9DC779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'BALANCEADO (2)'!$A$2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(2)'!$B$2:$F$2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D-42ED-8C66-A303D5373E46}"/>
            </c:ext>
          </c:extLst>
        </c:ser>
        <c:ser>
          <c:idx val="1"/>
          <c:order val="1"/>
          <c:tx>
            <c:strRef>
              <c:f>'BALANCEADO (2)'!$A$3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(2)'!$B$3:$F$3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D-42ED-8C66-A303D5373E46}"/>
            </c:ext>
          </c:extLst>
        </c:ser>
        <c:ser>
          <c:idx val="2"/>
          <c:order val="2"/>
          <c:tx>
            <c:strRef>
              <c:f>'BALANCEADO (2)'!$A$4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9D-42ED-8C66-A303D5373E46}"/>
            </c:ext>
          </c:extLst>
        </c:ser>
        <c:ser>
          <c:idx val="3"/>
          <c:order val="3"/>
          <c:tx>
            <c:strRef>
              <c:f>'BALANCEADO (2)'!$A$5</c:f>
              <c:strCache>
                <c:ptCount val="1"/>
                <c:pt idx="0">
                  <c:v>LAMINAÇÃO ROSCA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9D-42ED-8C66-A303D5373E46}"/>
            </c:ext>
          </c:extLst>
        </c:ser>
        <c:ser>
          <c:idx val="4"/>
          <c:order val="4"/>
          <c:tx>
            <c:strRef>
              <c:f>'BALANCEADO (2)'!$A$6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9D-42ED-8C66-A303D5373E46}"/>
            </c:ext>
          </c:extLst>
        </c:ser>
        <c:ser>
          <c:idx val="5"/>
          <c:order val="5"/>
          <c:tx>
            <c:strRef>
              <c:f>'BALANCEADO (2)'!$A$7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9D-42ED-8C66-A303D5373E46}"/>
            </c:ext>
          </c:extLst>
        </c:ser>
        <c:ser>
          <c:idx val="6"/>
          <c:order val="6"/>
          <c:tx>
            <c:strRef>
              <c:f>'BALANCEADO (2)'!$A$8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9D-42ED-8C66-A303D5373E46}"/>
            </c:ext>
          </c:extLst>
        </c:ser>
        <c:ser>
          <c:idx val="7"/>
          <c:order val="7"/>
          <c:tx>
            <c:strRef>
              <c:f>'BALANCEADO (2)'!$A$9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9D-42ED-8C66-A303D5373E46}"/>
            </c:ext>
          </c:extLst>
        </c:ser>
        <c:ser>
          <c:idx val="8"/>
          <c:order val="8"/>
          <c:tx>
            <c:strRef>
              <c:f>'BALANCEADO (2)'!$A$10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(2)'!$B$10:$F$10</c:f>
              <c:numCache>
                <c:formatCode>General</c:formatCode>
                <c:ptCount val="5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9D-42ED-8C66-A303D5373E46}"/>
            </c:ext>
          </c:extLst>
        </c:ser>
        <c:ser>
          <c:idx val="9"/>
          <c:order val="9"/>
          <c:tx>
            <c:strRef>
              <c:f>'BALANCEADO (2)'!$A$11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(2)'!$B$11:$F$11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9D-42ED-8C66-A303D5373E46}"/>
            </c:ext>
          </c:extLst>
        </c:ser>
        <c:ser>
          <c:idx val="10"/>
          <c:order val="10"/>
          <c:tx>
            <c:strRef>
              <c:f>'BALANCEADO (2)'!$A$12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9D-42ED-8C66-A303D5373E46}"/>
            </c:ext>
          </c:extLst>
        </c:ser>
        <c:ser>
          <c:idx val="11"/>
          <c:order val="11"/>
          <c:tx>
            <c:strRef>
              <c:f>'BALANCEADO (2)'!$A$13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9D-42ED-8C66-A303D5373E46}"/>
            </c:ext>
          </c:extLst>
        </c:ser>
        <c:ser>
          <c:idx val="12"/>
          <c:order val="12"/>
          <c:tx>
            <c:strRef>
              <c:f>'BALANCEADO (2)'!$A$14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9D-42ED-8C66-A303D5373E46}"/>
            </c:ext>
          </c:extLst>
        </c:ser>
        <c:ser>
          <c:idx val="13"/>
          <c:order val="13"/>
          <c:tx>
            <c:strRef>
              <c:f>'BALANCEADO (2)'!$A$15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9D-42ED-8C66-A303D5373E46}"/>
            </c:ext>
          </c:extLst>
        </c:ser>
        <c:ser>
          <c:idx val="14"/>
          <c:order val="14"/>
          <c:tx>
            <c:strRef>
              <c:f>'BALANCEADO (2)'!$A$16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9D-42ED-8C66-A303D5373E46}"/>
            </c:ext>
          </c:extLst>
        </c:ser>
        <c:ser>
          <c:idx val="15"/>
          <c:order val="15"/>
          <c:tx>
            <c:strRef>
              <c:f>'BALANCEADO (2)'!$A$17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(2)'!$B$17:$F$17</c:f>
              <c:numCache>
                <c:formatCode>General</c:formatCode>
                <c:ptCount val="5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59D-42ED-8C66-A303D5373E46}"/>
            </c:ext>
          </c:extLst>
        </c:ser>
        <c:ser>
          <c:idx val="16"/>
          <c:order val="16"/>
          <c:tx>
            <c:strRef>
              <c:f>'BALANCEADO (2)'!$A$18</c:f>
              <c:strCache>
                <c:ptCount val="1"/>
                <c:pt idx="0">
                  <c:v>INSPEÇÃO PINO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(2)'!$B$18:$F$18</c:f>
              <c:numCache>
                <c:formatCode>General</c:formatCode>
                <c:ptCount val="5"/>
                <c:pt idx="0">
                  <c:v>1.0833333333333333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9D-42ED-8C66-A303D5373E46}"/>
            </c:ext>
          </c:extLst>
        </c:ser>
        <c:ser>
          <c:idx val="17"/>
          <c:order val="17"/>
          <c:tx>
            <c:strRef>
              <c:f>'BALANCEADO (2)'!$A$19</c:f>
              <c:strCache>
                <c:ptCount val="1"/>
                <c:pt idx="0">
                  <c:v>INSPEÇÃO EQUIPTOP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(2)'!$B$19:$F$19</c:f>
              <c:numCache>
                <c:formatCode>General</c:formatCode>
                <c:ptCount val="5"/>
                <c:pt idx="0">
                  <c:v>0</c:v>
                </c:pt>
                <c:pt idx="1">
                  <c:v>1.36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59D-42ED-8C66-A303D5373E46}"/>
            </c:ext>
          </c:extLst>
        </c:ser>
        <c:ser>
          <c:idx val="18"/>
          <c:order val="18"/>
          <c:tx>
            <c:strRef>
              <c:f>'BALANCEADO (2)'!$A$20</c:f>
              <c:strCache>
                <c:ptCount val="1"/>
                <c:pt idx="0">
                  <c:v>INSPEÇÃO CAIXA (1/25)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(2)'!$B$20:$F$20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0.36666666666666664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9D-42ED-8C66-A303D5373E46}"/>
            </c:ext>
          </c:extLst>
        </c:ser>
        <c:ser>
          <c:idx val="19"/>
          <c:order val="19"/>
          <c:tx>
            <c:strRef>
              <c:f>'BALANCEADO (2)'!$A$21</c:f>
              <c:strCache>
                <c:ptCount val="1"/>
                <c:pt idx="0">
                  <c:v>INSPEÇÃO CAIXA (1/50)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(2)'!$B$21:$F$21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2.04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59D-42ED-8C66-A303D5373E46}"/>
            </c:ext>
          </c:extLst>
        </c:ser>
        <c:ser>
          <c:idx val="20"/>
          <c:order val="20"/>
          <c:tx>
            <c:strRef>
              <c:f>'BALANCEADO (2)'!$A$22</c:f>
              <c:strCache>
                <c:ptCount val="1"/>
                <c:pt idx="0">
                  <c:v>INSPEÇÃO MONTAGEM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(2)'!$B$22:$F$22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59D-42ED-8C66-A303D5373E46}"/>
            </c:ext>
          </c:extLst>
        </c:ser>
        <c:ser>
          <c:idx val="21"/>
          <c:order val="21"/>
          <c:tx>
            <c:strRef>
              <c:f>'BALANCEADO (2)'!$A$23</c:f>
              <c:strCache>
                <c:ptCount val="1"/>
                <c:pt idx="0">
                  <c:v>PREENCHIMENTO DE DB 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(2)'!$B$23:$F$23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9D-42ED-8C66-A303D5373E46}"/>
            </c:ext>
          </c:extLst>
        </c:ser>
        <c:ser>
          <c:idx val="22"/>
          <c:order val="22"/>
          <c:tx>
            <c:strRef>
              <c:f>'BALANCEADO (2)'!$A$24</c:f>
              <c:strCache>
                <c:ptCount val="1"/>
                <c:pt idx="0">
                  <c:v>PREENCHIMENTO DE DB 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(2)'!$B$24:$F$24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59D-42ED-8C66-A303D5373E46}"/>
            </c:ext>
          </c:extLst>
        </c:ser>
        <c:ser>
          <c:idx val="23"/>
          <c:order val="23"/>
          <c:tx>
            <c:strRef>
              <c:f>'BALANCEADO (2)'!$A$25</c:f>
              <c:strCache>
                <c:ptCount val="1"/>
                <c:pt idx="0">
                  <c:v>PREENCHIMENTO DE DB 3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(2)'!$B$25:$F$25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59D-42ED-8C66-A303D5373E46}"/>
            </c:ext>
          </c:extLst>
        </c:ser>
        <c:ser>
          <c:idx val="24"/>
          <c:order val="24"/>
          <c:tx>
            <c:strRef>
              <c:f>'BALANCEADO (2)'!$A$26</c:f>
              <c:strCache>
                <c:ptCount val="1"/>
                <c:pt idx="0">
                  <c:v>PREENCHIMENTO DE DB 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(2)'!$B$26:$F$26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9D-42ED-8C66-A303D5373E46}"/>
            </c:ext>
          </c:extLst>
        </c:ser>
        <c:ser>
          <c:idx val="25"/>
          <c:order val="25"/>
          <c:tx>
            <c:strRef>
              <c:f>'BALANCEADO (2)'!$A$27</c:f>
              <c:strCache>
                <c:ptCount val="1"/>
                <c:pt idx="0">
                  <c:v>PREENCHIMENTO DE DB 5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(2)'!$B$27:$F$27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59D-42ED-8C66-A303D5373E46}"/>
            </c:ext>
          </c:extLst>
        </c:ser>
        <c:ser>
          <c:idx val="26"/>
          <c:order val="26"/>
          <c:tx>
            <c:strRef>
              <c:f>'BALANCEADO (2)'!$A$28</c:f>
              <c:strCache>
                <c:ptCount val="1"/>
                <c:pt idx="0">
                  <c:v>PREENCHIMENTO DE DB 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(2)'!$B$28:$F$28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59D-42ED-8C66-A303D5373E46}"/>
            </c:ext>
          </c:extLst>
        </c:ser>
        <c:ser>
          <c:idx val="27"/>
          <c:order val="27"/>
          <c:tx>
            <c:strRef>
              <c:f>'BALANCEADO (2)'!$A$29</c:f>
              <c:strCache>
                <c:ptCount val="1"/>
                <c:pt idx="0">
                  <c:v>ATUALIZAR QUADRO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(2)'!$B$29:$F$29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59D-42ED-8C66-A303D537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28"/>
          <c:order val="28"/>
          <c:tx>
            <c:strRef>
              <c:f>'BALANCEADO (2)'!$A$30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(2)'!$B$30:$F$30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59D-42ED-8C66-A303D537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87764</xdr:colOff>
      <xdr:row>20</xdr:row>
      <xdr:rowOff>81643</xdr:rowOff>
    </xdr:from>
    <xdr:to>
      <xdr:col>4</xdr:col>
      <xdr:colOff>1303565</xdr:colOff>
      <xdr:row>36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A872D0-030C-4359-9609-2CB5B75EE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87764</xdr:colOff>
      <xdr:row>20</xdr:row>
      <xdr:rowOff>81643</xdr:rowOff>
    </xdr:from>
    <xdr:to>
      <xdr:col>4</xdr:col>
      <xdr:colOff>1303565</xdr:colOff>
      <xdr:row>36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B281D4-E0B5-46D0-A272-DECFE2C94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308200</xdr:colOff>
      <xdr:row>1</xdr:row>
      <xdr:rowOff>108857</xdr:rowOff>
    </xdr:from>
    <xdr:to>
      <xdr:col>18</xdr:col>
      <xdr:colOff>340179</xdr:colOff>
      <xdr:row>17</xdr:row>
      <xdr:rowOff>176893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4ED40A-79B0-41B3-99E1-4177C335C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308200</xdr:colOff>
      <xdr:row>1</xdr:row>
      <xdr:rowOff>108857</xdr:rowOff>
    </xdr:from>
    <xdr:to>
      <xdr:col>18</xdr:col>
      <xdr:colOff>340179</xdr:colOff>
      <xdr:row>17</xdr:row>
      <xdr:rowOff>176893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7D7923-8E30-40E3-90F5-15FFAC187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226556</xdr:colOff>
      <xdr:row>0</xdr:row>
      <xdr:rowOff>68036</xdr:rowOff>
    </xdr:from>
    <xdr:to>
      <xdr:col>16</xdr:col>
      <xdr:colOff>258536</xdr:colOff>
      <xdr:row>16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D0FC39-B22A-4C4D-BF69-7953690D3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226556</xdr:colOff>
      <xdr:row>0</xdr:row>
      <xdr:rowOff>68036</xdr:rowOff>
    </xdr:from>
    <xdr:to>
      <xdr:col>16</xdr:col>
      <xdr:colOff>258536</xdr:colOff>
      <xdr:row>16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D69775-F994-4849-ADF6-DBBE13E0A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226556</xdr:colOff>
      <xdr:row>0</xdr:row>
      <xdr:rowOff>68036</xdr:rowOff>
    </xdr:from>
    <xdr:to>
      <xdr:col>16</xdr:col>
      <xdr:colOff>258536</xdr:colOff>
      <xdr:row>16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7C25B2-6DA4-4FD3-B80B-07BA8571E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63270</xdr:colOff>
      <xdr:row>18</xdr:row>
      <xdr:rowOff>163286</xdr:rowOff>
    </xdr:from>
    <xdr:to>
      <xdr:col>5</xdr:col>
      <xdr:colOff>1827275</xdr:colOff>
      <xdr:row>35</xdr:row>
      <xdr:rowOff>40822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C0BAE0-D220-47DA-933E-84512CD04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580343</xdr:colOff>
      <xdr:row>0</xdr:row>
      <xdr:rowOff>0</xdr:rowOff>
    </xdr:from>
    <xdr:to>
      <xdr:col>19</xdr:col>
      <xdr:colOff>466563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6A5761-88F1-4F3A-9F7B-91DC024B1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76078</xdr:colOff>
      <xdr:row>0</xdr:row>
      <xdr:rowOff>53709</xdr:rowOff>
    </xdr:from>
    <xdr:to>
      <xdr:col>18</xdr:col>
      <xdr:colOff>567415</xdr:colOff>
      <xdr:row>16</xdr:row>
      <xdr:rowOff>72758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33D7D9-B5ED-FC2C-FB02-44C4C6CDA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580343</xdr:colOff>
      <xdr:row>0</xdr:row>
      <xdr:rowOff>0</xdr:rowOff>
    </xdr:from>
    <xdr:to>
      <xdr:col>19</xdr:col>
      <xdr:colOff>466563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0B6388-EA8F-46F7-A432-7EE3FF25D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E26DB-04C6-4C7F-BE14-612A09BB118B}" name="Tabela2462" displayName="Tabela2462" ref="A1:E18" totalsRowShown="0">
  <autoFilter ref="A1:E18" xr:uid="{81E7A06D-A288-4706-89D1-269891B6CA5C}"/>
  <tableColumns count="5">
    <tableColumn id="1" xr3:uid="{D8A5CEDE-EB7C-418E-8AFF-7E3F1EE6C720}" name="ATIVIDADE"/>
    <tableColumn id="2" xr3:uid="{9C8087FE-86DB-4C8F-B8C3-1885ABDF969A}" name="Operador 1"/>
    <tableColumn id="3" xr3:uid="{B90F855F-652B-4F43-8609-0543BAF1B288}" name="Operador 2"/>
    <tableColumn id="4" xr3:uid="{90663ECE-170B-4002-B9FE-D9124FEF8534}" name="Operador 3"/>
    <tableColumn id="5" xr3:uid="{EFFED5B5-1EC6-4653-8DF5-A3F6501846A0}" name="Operador 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9947B3-2FC5-48C2-BAFE-FF5120C2E4FB}" name="Tabela246212" displayName="Tabela246212" ref="A1:E18" totalsRowShown="0">
  <autoFilter ref="A1:E18" xr:uid="{81E7A06D-A288-4706-89D1-269891B6CA5C}"/>
  <tableColumns count="5">
    <tableColumn id="1" xr3:uid="{7A33B45F-12CE-4525-A67E-977CE7ED1CB3}" name="ATIVIDADE"/>
    <tableColumn id="2" xr3:uid="{6F3322AA-5390-4650-A24D-E9AF228AC6FE}" name="Operador 1"/>
    <tableColumn id="3" xr3:uid="{B4021D78-6711-4D17-91B3-A4957219384E}" name="Operador 2"/>
    <tableColumn id="4" xr3:uid="{DB18AB15-8230-43AE-9B07-A796857E9388}" name="Operador 3"/>
    <tableColumn id="5" xr3:uid="{0B4A531F-6B33-45D5-A9A7-C5282A7B2EDE}" name="Operador 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EADCB4-73F9-4652-8E3F-DF59C4F4FD89}" name="Tabela24621011" displayName="Tabela24621011" ref="A1:E18" totalsRowShown="0">
  <autoFilter ref="A1:E18" xr:uid="{81E7A06D-A288-4706-89D1-269891B6CA5C}"/>
  <tableColumns count="5">
    <tableColumn id="1" xr3:uid="{45D443A1-A14E-4E17-B04F-1E6F2A93F175}" name="ATIVIDADE"/>
    <tableColumn id="2" xr3:uid="{9D62FF13-75D6-4A12-BE7D-F6D494038BFB}" name="Operador 1"/>
    <tableColumn id="3" xr3:uid="{5FC73E59-D9BD-49B6-A919-12147EBD4AEB}" name="Operador 2"/>
    <tableColumn id="4" xr3:uid="{724A227B-D897-4FE2-8119-D16636F3C394}" name="Operador 3"/>
    <tableColumn id="5" xr3:uid="{460CD84C-6A75-4759-9D06-252DE431E126}" name="Operador 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4F6E47-3391-4EE3-AE91-3D393143B0EA}" name="Tabela246210" displayName="Tabela246210" ref="A1:E18" totalsRowShown="0">
  <autoFilter ref="A1:E18" xr:uid="{81E7A06D-A288-4706-89D1-269891B6CA5C}"/>
  <tableColumns count="5">
    <tableColumn id="1" xr3:uid="{9165D6AB-7CD5-47ED-8BF2-8B6139FCE2E3}" name="ATIVIDADE"/>
    <tableColumn id="2" xr3:uid="{B6A3574C-C5AD-45E1-8FDB-ED44E82B0F03}" name="Operador 1"/>
    <tableColumn id="3" xr3:uid="{A14D5473-C59B-444C-A0F9-166EAA9E608F}" name="Operador 2"/>
    <tableColumn id="4" xr3:uid="{A0863F4D-2CB3-4F81-AD01-922AFE4200E2}" name="Operador 3"/>
    <tableColumn id="5" xr3:uid="{051E3925-9227-45D8-89E7-C73BA17E860D}" name="Operador 4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5FFF30-3B4C-43B4-8869-910572631D2B}" name="Tabela2462789" displayName="Tabela2462789" ref="A1:E17" totalsRowShown="0">
  <autoFilter ref="A1:E17" xr:uid="{81E7A06D-A288-4706-89D1-269891B6CA5C}"/>
  <tableColumns count="5">
    <tableColumn id="1" xr3:uid="{C05CFE92-0338-4A58-8F69-4DFA1A2E76CF}" name="ATIVIDADE"/>
    <tableColumn id="2" xr3:uid="{BD37EF02-AE1F-4C3A-8B87-031DC3C133DE}" name="Operador 1"/>
    <tableColumn id="3" xr3:uid="{DB298B59-2505-42EE-9748-E336D753CBE6}" name="Operador 2"/>
    <tableColumn id="4" xr3:uid="{09145AEF-1531-4FAE-8F56-4A8DCEA7663D}" name="Operador 3"/>
    <tableColumn id="5" xr3:uid="{09ACD467-1DDE-41BD-AFF1-EBD1A2F99293}" name="Operador 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96F8EA-3FED-4155-97EC-28B999064AC4}" name="Tabela246278" displayName="Tabela246278" ref="A1:E17" totalsRowShown="0">
  <autoFilter ref="A1:E17" xr:uid="{81E7A06D-A288-4706-89D1-269891B6CA5C}"/>
  <tableColumns count="5">
    <tableColumn id="1" xr3:uid="{285DAE5E-8013-4A91-B358-7F5DE75D63B9}" name="ATIVIDADE"/>
    <tableColumn id="2" xr3:uid="{6726C0B8-9852-4242-A106-2A6EF0BEC418}" name="Operador 1"/>
    <tableColumn id="3" xr3:uid="{9A23DC4A-AE12-4AA3-BD78-83317006A3A3}" name="Operador 2"/>
    <tableColumn id="4" xr3:uid="{14910DA9-DB7A-4B5F-9449-0C6E770AE54E}" name="Operador 3"/>
    <tableColumn id="5" xr3:uid="{48A853BA-7B7C-46E5-86E6-8DA3A28C6A08}" name="Operador 4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58E64E-24DD-42E7-A7E1-5BCC3C4FA5F9}" name="Tabela24627" displayName="Tabela24627" ref="A1:E17" totalsRowShown="0">
  <autoFilter ref="A1:E17" xr:uid="{81E7A06D-A288-4706-89D1-269891B6CA5C}"/>
  <tableColumns count="5">
    <tableColumn id="1" xr3:uid="{6640BB8C-B6FB-45EC-82F8-AB8998FA094A}" name="ATIVIDADE"/>
    <tableColumn id="2" xr3:uid="{45CCDB9D-B4D7-4186-88C1-B9EFA330AC84}" name="Operador 1"/>
    <tableColumn id="3" xr3:uid="{7597C69F-5488-4F01-8205-765FF1D9157F}" name="Operador 2"/>
    <tableColumn id="4" xr3:uid="{93B845E4-CD2C-4A1D-865C-57AED77E9723}" name="Operador 3"/>
    <tableColumn id="5" xr3:uid="{26D95676-0D13-4E55-9AA8-6E7278068C97}" name="Operador 4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31511D-119B-4EE1-A461-44D87F84A3C3}" name="Tabela246" displayName="Tabela246" ref="A1:F18" totalsRowShown="0">
  <autoFilter ref="A1:F18" xr:uid="{81E7A06D-A288-4706-89D1-269891B6CA5C}"/>
  <tableColumns count="6">
    <tableColumn id="1" xr3:uid="{8C5170E1-4E83-4395-9F5B-E5AA78742F4D}" name="ATIVIDADE"/>
    <tableColumn id="2" xr3:uid="{3BCEA1FF-975A-438F-B227-C6D8B9709B4A}" name="OPERADOR PINO"/>
    <tableColumn id="3" xr3:uid="{545A7A8B-FA5A-4EDF-99FE-552E7BC70BA3}" name="OPERADOR EQUIPTOP"/>
    <tableColumn id="4" xr3:uid="{8CA0A2B5-1AD5-45CD-8332-3E9D9692530B}" name="OPERADOR CAIXA"/>
    <tableColumn id="5" xr3:uid="{A41D93BF-8E0B-44FA-A7AB-B7FCA34F49B6}" name="OPERADOR LAMINAÇÃO"/>
    <tableColumn id="6" xr3:uid="{CA7730DE-7DE7-4CA5-8F94-6A5D42928EF0}" name="OPERADOR MONTAGEM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43365-0905-42FE-865B-D6FBCC4DBCCB}" name="Tabela24" displayName="Tabela24" ref="A1:F30" totalsRowShown="0">
  <autoFilter ref="A1:F30" xr:uid="{81E7A06D-A288-4706-89D1-269891B6CA5C}"/>
  <tableColumns count="6">
    <tableColumn id="1" xr3:uid="{3D4C0689-2037-4C69-AED4-95BF0EE1DB0E}" name="ATIVIDADE"/>
    <tableColumn id="2" xr3:uid="{E2DB147A-5A85-4DA5-8ED8-50A8BBD69AE2}" name="OPERADOR PINO"/>
    <tableColumn id="3" xr3:uid="{C6CFA658-804D-49DA-9BF3-C13F4F7DC2BD}" name="OPERADOR EQUIPTOP"/>
    <tableColumn id="4" xr3:uid="{63E1E247-ACC8-425B-B537-B3D3B5AA15BA}" name="OPERADOR CAIXA"/>
    <tableColumn id="5" xr3:uid="{36DCD50B-EC10-4724-9A9E-5902598A2AF2}" name="OPERADOR LAMINAÇÃO"/>
    <tableColumn id="6" xr3:uid="{A1963D4A-F316-4BF3-8324-E9884233B93B}" name="OPERADOR MONTAGEM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E7A06D-A288-4706-89D1-269891B6CA5C}" name="Tabela2" displayName="Tabela2" ref="A1:F18" totalsRowShown="0">
  <autoFilter ref="A1:F18" xr:uid="{81E7A06D-A288-4706-89D1-269891B6CA5C}"/>
  <tableColumns count="6">
    <tableColumn id="1" xr3:uid="{EC9090FD-2323-40C6-A20A-D8D35384B6E9}" name="ATIVIDADE"/>
    <tableColumn id="2" xr3:uid="{E48C3B99-179A-47EA-BD30-D3F05DC7AF71}" name="OPERADOR PINO"/>
    <tableColumn id="3" xr3:uid="{C9EEC7AA-B8C3-424E-B4D9-DB7CD54FC1F7}" name="OPERADOR EQUIPTOP"/>
    <tableColumn id="4" xr3:uid="{FAAF0024-07CD-4715-9E23-F1D216D5AED0}" name="OPERADOR CAIXA"/>
    <tableColumn id="5" xr3:uid="{CE905485-8A4D-414D-89DF-54DB407E99D5}" name="OPERADOR LAMINAÇÃO"/>
    <tableColumn id="6" xr3:uid="{DF0DB4D5-0ADC-4D24-803A-99354EDCF534}" name="OPERADOR MONTAGEM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3C3320-DD64-4FD4-95D0-2E67556CDB00}" name="Tabela245" displayName="Tabela245" ref="A1:F30" totalsRowShown="0">
  <autoFilter ref="A1:F30" xr:uid="{81E7A06D-A288-4706-89D1-269891B6CA5C}"/>
  <tableColumns count="6">
    <tableColumn id="1" xr3:uid="{73CDF979-3EEB-4174-B086-F816581B111E}" name="ATIVIDADE"/>
    <tableColumn id="2" xr3:uid="{DEB25DFB-971F-4251-944C-D8CFC9ECDA0E}" name="OPERADOR PINO"/>
    <tableColumn id="3" xr3:uid="{7D998E3D-322E-4CD7-8637-AD8623CE3D7A}" name="OPERADOR EQUIPTOP"/>
    <tableColumn id="4" xr3:uid="{24A68CF3-213A-4708-8F82-244615E1E419}" name="OPERADOR CAIXA"/>
    <tableColumn id="5" xr3:uid="{C55D933E-533F-4880-9BD9-6D672FEC0325}" name="OPERADOR LAMINAÇÃO"/>
    <tableColumn id="6" xr3:uid="{C0F0F414-4FF1-4A02-B7DA-D9A03C74B4A3}" name="OPERADOR MONTAGE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611A-690D-4C56-BBB8-CCA22FEC8705}">
  <dimension ref="A1:P35"/>
  <sheetViews>
    <sheetView tabSelected="1" workbookViewId="0">
      <selection activeCell="I18" sqref="I18"/>
    </sheetView>
  </sheetViews>
  <sheetFormatPr defaultRowHeight="14.4" x14ac:dyDescent="0.3"/>
  <cols>
    <col min="1" max="2" width="12.21875" customWidth="1"/>
    <col min="3" max="3" width="12.21875" style="7" customWidth="1"/>
    <col min="4" max="6" width="12.21875" customWidth="1"/>
    <col min="7" max="7" width="12.21875" style="7" customWidth="1"/>
    <col min="8" max="8" width="12.21875" customWidth="1"/>
    <col min="9" max="9" width="12.21875" style="7" customWidth="1"/>
    <col min="10" max="10" width="12.21875" customWidth="1"/>
    <col min="11" max="11" width="12.21875" style="7" customWidth="1"/>
    <col min="12" max="15" width="12.21875" customWidth="1"/>
    <col min="16" max="16" width="11.44140625" customWidth="1"/>
    <col min="17" max="17" width="11.5546875" customWidth="1"/>
    <col min="18" max="18" width="11.33203125" customWidth="1"/>
  </cols>
  <sheetData>
    <row r="1" spans="1:16" x14ac:dyDescent="0.3">
      <c r="A1" t="s">
        <v>69</v>
      </c>
      <c r="B1" t="s">
        <v>64</v>
      </c>
      <c r="C1" s="7" t="s">
        <v>70</v>
      </c>
      <c r="D1" t="s">
        <v>71</v>
      </c>
      <c r="E1" s="7" t="s">
        <v>72</v>
      </c>
    </row>
    <row r="2" spans="1:16" x14ac:dyDescent="0.3">
      <c r="A2" t="s">
        <v>65</v>
      </c>
      <c r="B2">
        <v>30.3</v>
      </c>
      <c r="C2" s="9">
        <f>3600/B2</f>
        <v>118.8118811881188</v>
      </c>
      <c r="D2">
        <v>24</v>
      </c>
      <c r="E2" s="7">
        <f>D2*C2</f>
        <v>2851.4851485148511</v>
      </c>
    </row>
    <row r="3" spans="1:16" x14ac:dyDescent="0.3">
      <c r="A3" t="s">
        <v>66</v>
      </c>
      <c r="B3">
        <v>35</v>
      </c>
      <c r="C3" s="9">
        <f>3600/B3</f>
        <v>102.85714285714286</v>
      </c>
      <c r="D3">
        <v>21</v>
      </c>
      <c r="E3" s="7">
        <f>D3*C3</f>
        <v>2160</v>
      </c>
    </row>
    <row r="4" spans="1:16" x14ac:dyDescent="0.3">
      <c r="A4" t="s">
        <v>66</v>
      </c>
      <c r="B4">
        <v>35</v>
      </c>
      <c r="C4" s="9">
        <f>3600/B4</f>
        <v>102.85714285714286</v>
      </c>
      <c r="D4">
        <v>0</v>
      </c>
      <c r="E4" s="7">
        <f>D4*C4</f>
        <v>0</v>
      </c>
    </row>
    <row r="5" spans="1:16" x14ac:dyDescent="0.3">
      <c r="A5" t="s">
        <v>67</v>
      </c>
      <c r="B5">
        <v>24.7</v>
      </c>
      <c r="C5" s="9">
        <f>3600/B5</f>
        <v>145.74898785425103</v>
      </c>
      <c r="D5">
        <v>21</v>
      </c>
      <c r="E5" s="7">
        <f>D5*C5</f>
        <v>3060.7287449392716</v>
      </c>
    </row>
    <row r="6" spans="1:16" x14ac:dyDescent="0.3">
      <c r="A6" t="s">
        <v>41</v>
      </c>
      <c r="B6">
        <v>14.86</v>
      </c>
      <c r="C6" s="9">
        <f>3600/B6</f>
        <v>242.26110363391658</v>
      </c>
      <c r="D6">
        <f>24-9</f>
        <v>15</v>
      </c>
      <c r="E6" s="7">
        <f>D6*C6</f>
        <v>3633.9165545087485</v>
      </c>
    </row>
    <row r="7" spans="1:16" x14ac:dyDescent="0.3">
      <c r="A7" t="s">
        <v>68</v>
      </c>
      <c r="B7">
        <v>24</v>
      </c>
      <c r="C7" s="9">
        <f>3600/B7</f>
        <v>150</v>
      </c>
      <c r="D7">
        <v>21</v>
      </c>
      <c r="E7" s="7">
        <f>D7*C7</f>
        <v>3150</v>
      </c>
    </row>
    <row r="10" spans="1:16" ht="43.2" x14ac:dyDescent="0.3">
      <c r="A10" s="5" t="s">
        <v>81</v>
      </c>
      <c r="B10" s="5" t="s">
        <v>73</v>
      </c>
      <c r="C10" s="8" t="s">
        <v>88</v>
      </c>
      <c r="D10" s="6" t="s">
        <v>74</v>
      </c>
      <c r="E10" s="5" t="s">
        <v>75</v>
      </c>
      <c r="F10" s="5" t="s">
        <v>76</v>
      </c>
      <c r="G10" s="8" t="s">
        <v>80</v>
      </c>
      <c r="H10" s="5" t="s">
        <v>77</v>
      </c>
      <c r="I10" s="8" t="s">
        <v>79</v>
      </c>
      <c r="J10" s="5" t="s">
        <v>78</v>
      </c>
      <c r="K10" s="8" t="s">
        <v>82</v>
      </c>
      <c r="L10" s="5" t="s">
        <v>83</v>
      </c>
      <c r="M10" s="5" t="s">
        <v>84</v>
      </c>
      <c r="N10" s="5" t="s">
        <v>85</v>
      </c>
      <c r="O10" s="5" t="s">
        <v>86</v>
      </c>
      <c r="P10" s="5" t="s">
        <v>87</v>
      </c>
    </row>
    <row r="11" spans="1:16" x14ac:dyDescent="0.3">
      <c r="A11" s="4">
        <v>0.25</v>
      </c>
      <c r="B11">
        <v>119</v>
      </c>
      <c r="C11" s="9">
        <f>L11-M11</f>
        <v>0</v>
      </c>
      <c r="D11" s="3">
        <v>119</v>
      </c>
      <c r="E11">
        <v>103</v>
      </c>
      <c r="F11">
        <f>103-87</f>
        <v>16</v>
      </c>
      <c r="G11" s="9">
        <f>M11-N11</f>
        <v>0</v>
      </c>
      <c r="H11">
        <v>119</v>
      </c>
      <c r="I11" s="7">
        <f>N11-O11</f>
        <v>0</v>
      </c>
      <c r="J11">
        <v>119</v>
      </c>
      <c r="K11" s="7">
        <f>O11-P11</f>
        <v>0</v>
      </c>
      <c r="L11">
        <f>B11</f>
        <v>119</v>
      </c>
      <c r="M11" s="3">
        <f>D11</f>
        <v>119</v>
      </c>
      <c r="N11">
        <f>E11+F11</f>
        <v>119</v>
      </c>
      <c r="O11">
        <f>H11</f>
        <v>119</v>
      </c>
      <c r="P11">
        <f>J11</f>
        <v>119</v>
      </c>
    </row>
    <row r="12" spans="1:16" x14ac:dyDescent="0.3">
      <c r="A12" s="4">
        <v>0.29166666666666702</v>
      </c>
      <c r="B12">
        <v>119</v>
      </c>
      <c r="C12" s="9">
        <f t="shared" ref="C12:C35" si="0">L12-M12</f>
        <v>119</v>
      </c>
      <c r="D12" s="3">
        <v>0</v>
      </c>
      <c r="E12">
        <v>0</v>
      </c>
      <c r="F12">
        <v>0</v>
      </c>
      <c r="G12" s="9">
        <f t="shared" ref="G12:G35" si="1">M12-N12</f>
        <v>0</v>
      </c>
      <c r="H12">
        <v>0</v>
      </c>
      <c r="I12" s="7">
        <f t="shared" ref="I12:I35" si="2">N12-O12</f>
        <v>0</v>
      </c>
      <c r="J12">
        <v>0</v>
      </c>
      <c r="K12" s="7">
        <f t="shared" ref="K12:K35" si="3">O12-P12</f>
        <v>0</v>
      </c>
      <c r="L12">
        <f>B12+L11</f>
        <v>238</v>
      </c>
      <c r="M12" s="3">
        <f>D12+M11</f>
        <v>119</v>
      </c>
      <c r="N12">
        <f>E12+F12+N11</f>
        <v>119</v>
      </c>
      <c r="O12">
        <f>H12+O11</f>
        <v>119</v>
      </c>
      <c r="P12">
        <f>J12+P11</f>
        <v>119</v>
      </c>
    </row>
    <row r="13" spans="1:16" x14ac:dyDescent="0.3">
      <c r="A13" s="4">
        <v>0.33333333333333298</v>
      </c>
      <c r="B13">
        <v>119</v>
      </c>
      <c r="C13" s="9">
        <f t="shared" si="0"/>
        <v>92</v>
      </c>
      <c r="D13" s="3">
        <v>146</v>
      </c>
      <c r="E13">
        <v>73</v>
      </c>
      <c r="F13">
        <v>73</v>
      </c>
      <c r="G13" s="9">
        <f t="shared" si="1"/>
        <v>0</v>
      </c>
      <c r="H13">
        <v>125</v>
      </c>
      <c r="I13" s="7">
        <f t="shared" si="2"/>
        <v>21</v>
      </c>
      <c r="J13">
        <v>125</v>
      </c>
      <c r="K13" s="7">
        <f t="shared" si="3"/>
        <v>0</v>
      </c>
      <c r="L13">
        <f>B13+L12</f>
        <v>357</v>
      </c>
      <c r="M13" s="3">
        <f>D13+M12</f>
        <v>265</v>
      </c>
      <c r="N13">
        <f>E13+F13+N12</f>
        <v>265</v>
      </c>
      <c r="O13">
        <f>H13+O12</f>
        <v>244</v>
      </c>
      <c r="P13">
        <f>J13+P12</f>
        <v>244</v>
      </c>
    </row>
    <row r="14" spans="1:16" x14ac:dyDescent="0.3">
      <c r="A14" s="4">
        <v>0.375</v>
      </c>
      <c r="B14">
        <v>119</v>
      </c>
      <c r="C14" s="9">
        <f t="shared" si="0"/>
        <v>65</v>
      </c>
      <c r="D14" s="3">
        <v>146</v>
      </c>
      <c r="E14">
        <v>73</v>
      </c>
      <c r="F14">
        <v>73</v>
      </c>
      <c r="G14" s="9">
        <f t="shared" si="1"/>
        <v>0</v>
      </c>
      <c r="H14">
        <v>125</v>
      </c>
      <c r="I14" s="7">
        <f t="shared" si="2"/>
        <v>42</v>
      </c>
      <c r="J14">
        <v>125</v>
      </c>
      <c r="K14" s="7">
        <f t="shared" si="3"/>
        <v>0</v>
      </c>
      <c r="L14">
        <f>B14+L13</f>
        <v>476</v>
      </c>
      <c r="M14" s="3">
        <f>D14+M13</f>
        <v>411</v>
      </c>
      <c r="N14">
        <f>E14+F14+N13</f>
        <v>411</v>
      </c>
      <c r="O14">
        <f>H14+O13</f>
        <v>369</v>
      </c>
      <c r="P14">
        <f>J14+P13</f>
        <v>369</v>
      </c>
    </row>
    <row r="15" spans="1:16" x14ac:dyDescent="0.3">
      <c r="A15" s="4">
        <v>0.41666666666666702</v>
      </c>
      <c r="B15">
        <v>119</v>
      </c>
      <c r="C15" s="9">
        <f t="shared" si="0"/>
        <v>38</v>
      </c>
      <c r="D15" s="3">
        <v>146</v>
      </c>
      <c r="E15">
        <v>103</v>
      </c>
      <c r="G15" s="9">
        <f t="shared" si="1"/>
        <v>43</v>
      </c>
      <c r="I15" s="7">
        <f t="shared" si="2"/>
        <v>145</v>
      </c>
      <c r="K15" s="7">
        <f t="shared" si="3"/>
        <v>0</v>
      </c>
      <c r="L15">
        <f>B15+L14</f>
        <v>595</v>
      </c>
      <c r="M15" s="3">
        <f>D15+M14</f>
        <v>557</v>
      </c>
      <c r="N15">
        <f>E15+F15+N14</f>
        <v>514</v>
      </c>
      <c r="O15">
        <f>H15+O14</f>
        <v>369</v>
      </c>
      <c r="P15">
        <f>J15+P14</f>
        <v>369</v>
      </c>
    </row>
    <row r="16" spans="1:16" x14ac:dyDescent="0.3">
      <c r="A16" s="4">
        <v>0.45833333333333298</v>
      </c>
      <c r="B16">
        <v>119</v>
      </c>
      <c r="C16" s="9">
        <f t="shared" si="0"/>
        <v>157</v>
      </c>
      <c r="D16" s="3"/>
      <c r="G16" s="9">
        <f t="shared" si="1"/>
        <v>43</v>
      </c>
      <c r="I16" s="7">
        <f t="shared" si="2"/>
        <v>145</v>
      </c>
      <c r="K16" s="7">
        <f t="shared" si="3"/>
        <v>0</v>
      </c>
      <c r="L16">
        <f t="shared" ref="L16:L35" si="4">B16+L15</f>
        <v>714</v>
      </c>
      <c r="M16" s="3">
        <f>D16+M15</f>
        <v>557</v>
      </c>
      <c r="N16">
        <f>E16+F16+N15</f>
        <v>514</v>
      </c>
      <c r="O16">
        <f>H16+O15</f>
        <v>369</v>
      </c>
      <c r="P16">
        <f>J16+P15</f>
        <v>369</v>
      </c>
    </row>
    <row r="17" spans="1:16" x14ac:dyDescent="0.3">
      <c r="A17" s="4">
        <v>0.5</v>
      </c>
      <c r="B17">
        <v>119</v>
      </c>
      <c r="C17" s="9">
        <f t="shared" si="0"/>
        <v>276</v>
      </c>
      <c r="D17" s="3"/>
      <c r="G17" s="9">
        <f t="shared" si="1"/>
        <v>43</v>
      </c>
      <c r="I17" s="7">
        <f t="shared" si="2"/>
        <v>145</v>
      </c>
      <c r="K17" s="7">
        <f t="shared" si="3"/>
        <v>0</v>
      </c>
      <c r="L17">
        <f t="shared" si="4"/>
        <v>833</v>
      </c>
      <c r="M17" s="3">
        <f t="shared" ref="M17:M35" si="5">D17+M16</f>
        <v>557</v>
      </c>
      <c r="N17">
        <f t="shared" ref="N17:N35" si="6">E17+F17+N16</f>
        <v>514</v>
      </c>
      <c r="O17">
        <f t="shared" ref="O17:O35" si="7">H17+O16</f>
        <v>369</v>
      </c>
      <c r="P17">
        <f t="shared" ref="P17:P35" si="8">J17+P16</f>
        <v>369</v>
      </c>
    </row>
    <row r="18" spans="1:16" x14ac:dyDescent="0.3">
      <c r="A18" s="4">
        <v>0.54166666666666696</v>
      </c>
      <c r="B18">
        <v>119</v>
      </c>
      <c r="C18" s="9">
        <f t="shared" si="0"/>
        <v>395</v>
      </c>
      <c r="D18" s="3"/>
      <c r="G18" s="9">
        <f t="shared" si="1"/>
        <v>43</v>
      </c>
      <c r="I18" s="7">
        <f t="shared" si="2"/>
        <v>145</v>
      </c>
      <c r="K18" s="7">
        <f t="shared" si="3"/>
        <v>0</v>
      </c>
      <c r="L18">
        <f t="shared" si="4"/>
        <v>952</v>
      </c>
      <c r="M18" s="3">
        <f t="shared" si="5"/>
        <v>557</v>
      </c>
      <c r="N18">
        <f t="shared" si="6"/>
        <v>514</v>
      </c>
      <c r="O18">
        <f t="shared" si="7"/>
        <v>369</v>
      </c>
      <c r="P18">
        <f t="shared" si="8"/>
        <v>369</v>
      </c>
    </row>
    <row r="19" spans="1:16" x14ac:dyDescent="0.3">
      <c r="A19" s="4">
        <v>0.58333333333333304</v>
      </c>
      <c r="B19">
        <v>119</v>
      </c>
      <c r="C19" s="9">
        <f t="shared" si="0"/>
        <v>514</v>
      </c>
      <c r="D19" s="3"/>
      <c r="G19" s="9">
        <f t="shared" si="1"/>
        <v>43</v>
      </c>
      <c r="I19" s="7">
        <f t="shared" si="2"/>
        <v>145</v>
      </c>
      <c r="K19" s="7">
        <f t="shared" si="3"/>
        <v>0</v>
      </c>
      <c r="L19">
        <f t="shared" si="4"/>
        <v>1071</v>
      </c>
      <c r="M19" s="3">
        <f t="shared" si="5"/>
        <v>557</v>
      </c>
      <c r="N19">
        <f t="shared" si="6"/>
        <v>514</v>
      </c>
      <c r="O19">
        <f t="shared" si="7"/>
        <v>369</v>
      </c>
      <c r="P19">
        <f t="shared" si="8"/>
        <v>369</v>
      </c>
    </row>
    <row r="20" spans="1:16" x14ac:dyDescent="0.3">
      <c r="A20" s="4">
        <v>0.625</v>
      </c>
      <c r="B20">
        <v>119</v>
      </c>
      <c r="C20" s="9">
        <f t="shared" si="0"/>
        <v>633</v>
      </c>
      <c r="D20" s="3"/>
      <c r="G20" s="9">
        <f t="shared" si="1"/>
        <v>43</v>
      </c>
      <c r="I20" s="7">
        <f t="shared" si="2"/>
        <v>145</v>
      </c>
      <c r="K20" s="7">
        <f t="shared" si="3"/>
        <v>0</v>
      </c>
      <c r="L20">
        <f t="shared" si="4"/>
        <v>1190</v>
      </c>
      <c r="M20" s="3">
        <f t="shared" si="5"/>
        <v>557</v>
      </c>
      <c r="N20">
        <f t="shared" si="6"/>
        <v>514</v>
      </c>
      <c r="O20">
        <f t="shared" si="7"/>
        <v>369</v>
      </c>
      <c r="P20">
        <f t="shared" si="8"/>
        <v>369</v>
      </c>
    </row>
    <row r="21" spans="1:16" x14ac:dyDescent="0.3">
      <c r="A21" s="4">
        <v>0.66666666666666696</v>
      </c>
      <c r="B21">
        <v>119</v>
      </c>
      <c r="C21" s="9">
        <f t="shared" si="0"/>
        <v>752</v>
      </c>
      <c r="D21" s="3"/>
      <c r="G21" s="9">
        <f t="shared" si="1"/>
        <v>43</v>
      </c>
      <c r="I21" s="7">
        <f t="shared" si="2"/>
        <v>145</v>
      </c>
      <c r="K21" s="7">
        <f t="shared" si="3"/>
        <v>0</v>
      </c>
      <c r="L21">
        <f t="shared" si="4"/>
        <v>1309</v>
      </c>
      <c r="M21" s="3">
        <f t="shared" si="5"/>
        <v>557</v>
      </c>
      <c r="N21">
        <f t="shared" si="6"/>
        <v>514</v>
      </c>
      <c r="O21">
        <f t="shared" si="7"/>
        <v>369</v>
      </c>
      <c r="P21">
        <f t="shared" si="8"/>
        <v>369</v>
      </c>
    </row>
    <row r="22" spans="1:16" x14ac:dyDescent="0.3">
      <c r="A22" s="4">
        <v>0.70833333333333304</v>
      </c>
      <c r="B22">
        <v>119</v>
      </c>
      <c r="C22" s="9">
        <f t="shared" si="0"/>
        <v>871</v>
      </c>
      <c r="D22" s="3"/>
      <c r="G22" s="9">
        <f t="shared" si="1"/>
        <v>43</v>
      </c>
      <c r="I22" s="7">
        <f t="shared" si="2"/>
        <v>145</v>
      </c>
      <c r="K22" s="7">
        <f t="shared" si="3"/>
        <v>0</v>
      </c>
      <c r="L22">
        <f t="shared" si="4"/>
        <v>1428</v>
      </c>
      <c r="M22" s="3">
        <f t="shared" si="5"/>
        <v>557</v>
      </c>
      <c r="N22">
        <f t="shared" si="6"/>
        <v>514</v>
      </c>
      <c r="O22">
        <f t="shared" si="7"/>
        <v>369</v>
      </c>
      <c r="P22">
        <f t="shared" si="8"/>
        <v>369</v>
      </c>
    </row>
    <row r="23" spans="1:16" x14ac:dyDescent="0.3">
      <c r="A23" s="4">
        <v>0.75</v>
      </c>
      <c r="B23">
        <v>119</v>
      </c>
      <c r="C23" s="9">
        <f t="shared" si="0"/>
        <v>990</v>
      </c>
      <c r="D23" s="3"/>
      <c r="G23" s="9">
        <f t="shared" si="1"/>
        <v>43</v>
      </c>
      <c r="I23" s="7">
        <f t="shared" si="2"/>
        <v>145</v>
      </c>
      <c r="K23" s="7">
        <f t="shared" si="3"/>
        <v>0</v>
      </c>
      <c r="L23">
        <f t="shared" si="4"/>
        <v>1547</v>
      </c>
      <c r="M23" s="3">
        <f t="shared" si="5"/>
        <v>557</v>
      </c>
      <c r="N23">
        <f t="shared" si="6"/>
        <v>514</v>
      </c>
      <c r="O23">
        <f t="shared" si="7"/>
        <v>369</v>
      </c>
      <c r="P23">
        <f t="shared" si="8"/>
        <v>369</v>
      </c>
    </row>
    <row r="24" spans="1:16" x14ac:dyDescent="0.3">
      <c r="A24" s="4">
        <v>0.79166666666666696</v>
      </c>
      <c r="B24">
        <v>119</v>
      </c>
      <c r="C24" s="9">
        <f t="shared" si="0"/>
        <v>1109</v>
      </c>
      <c r="D24" s="3"/>
      <c r="G24" s="9">
        <f t="shared" si="1"/>
        <v>43</v>
      </c>
      <c r="I24" s="7">
        <f t="shared" si="2"/>
        <v>145</v>
      </c>
      <c r="K24" s="7">
        <f t="shared" si="3"/>
        <v>0</v>
      </c>
      <c r="L24">
        <f t="shared" si="4"/>
        <v>1666</v>
      </c>
      <c r="M24" s="3">
        <f t="shared" si="5"/>
        <v>557</v>
      </c>
      <c r="N24">
        <f t="shared" si="6"/>
        <v>514</v>
      </c>
      <c r="O24">
        <f t="shared" si="7"/>
        <v>369</v>
      </c>
      <c r="P24">
        <f t="shared" si="8"/>
        <v>369</v>
      </c>
    </row>
    <row r="25" spans="1:16" x14ac:dyDescent="0.3">
      <c r="A25" s="4">
        <v>0.83333333333333304</v>
      </c>
      <c r="B25">
        <v>119</v>
      </c>
      <c r="C25" s="9">
        <f t="shared" si="0"/>
        <v>1228</v>
      </c>
      <c r="D25" s="3"/>
      <c r="G25" s="9">
        <f t="shared" si="1"/>
        <v>43</v>
      </c>
      <c r="I25" s="7">
        <f t="shared" si="2"/>
        <v>145</v>
      </c>
      <c r="K25" s="7">
        <f t="shared" si="3"/>
        <v>0</v>
      </c>
      <c r="L25">
        <f t="shared" si="4"/>
        <v>1785</v>
      </c>
      <c r="M25" s="3">
        <f t="shared" si="5"/>
        <v>557</v>
      </c>
      <c r="N25">
        <f t="shared" si="6"/>
        <v>514</v>
      </c>
      <c r="O25">
        <f t="shared" si="7"/>
        <v>369</v>
      </c>
      <c r="P25">
        <f t="shared" si="8"/>
        <v>369</v>
      </c>
    </row>
    <row r="26" spans="1:16" x14ac:dyDescent="0.3">
      <c r="A26" s="4">
        <v>0.875</v>
      </c>
      <c r="B26">
        <v>119</v>
      </c>
      <c r="C26" s="9">
        <f t="shared" si="0"/>
        <v>1347</v>
      </c>
      <c r="D26" s="3"/>
      <c r="G26" s="9">
        <f t="shared" si="1"/>
        <v>43</v>
      </c>
      <c r="I26" s="7">
        <f t="shared" si="2"/>
        <v>145</v>
      </c>
      <c r="K26" s="7">
        <f t="shared" si="3"/>
        <v>0</v>
      </c>
      <c r="L26">
        <f t="shared" si="4"/>
        <v>1904</v>
      </c>
      <c r="M26" s="3">
        <f t="shared" si="5"/>
        <v>557</v>
      </c>
      <c r="N26">
        <f t="shared" si="6"/>
        <v>514</v>
      </c>
      <c r="O26">
        <f t="shared" si="7"/>
        <v>369</v>
      </c>
      <c r="P26">
        <f t="shared" si="8"/>
        <v>369</v>
      </c>
    </row>
    <row r="27" spans="1:16" x14ac:dyDescent="0.3">
      <c r="A27" s="4">
        <v>0.91666666666666696</v>
      </c>
      <c r="B27">
        <v>119</v>
      </c>
      <c r="C27" s="9">
        <f t="shared" si="0"/>
        <v>1466</v>
      </c>
      <c r="D27" s="3"/>
      <c r="G27" s="9">
        <f t="shared" si="1"/>
        <v>43</v>
      </c>
      <c r="I27" s="7">
        <f t="shared" si="2"/>
        <v>145</v>
      </c>
      <c r="K27" s="7">
        <f t="shared" si="3"/>
        <v>0</v>
      </c>
      <c r="L27">
        <f t="shared" si="4"/>
        <v>2023</v>
      </c>
      <c r="M27" s="3">
        <f t="shared" si="5"/>
        <v>557</v>
      </c>
      <c r="N27">
        <f t="shared" si="6"/>
        <v>514</v>
      </c>
      <c r="O27">
        <f t="shared" si="7"/>
        <v>369</v>
      </c>
      <c r="P27">
        <f t="shared" si="8"/>
        <v>369</v>
      </c>
    </row>
    <row r="28" spans="1:16" x14ac:dyDescent="0.3">
      <c r="A28" s="4">
        <v>0.95833333333333304</v>
      </c>
      <c r="B28">
        <v>119</v>
      </c>
      <c r="C28" s="9">
        <f t="shared" si="0"/>
        <v>1585</v>
      </c>
      <c r="D28" s="3"/>
      <c r="G28" s="9">
        <f t="shared" si="1"/>
        <v>43</v>
      </c>
      <c r="I28" s="7">
        <f t="shared" si="2"/>
        <v>145</v>
      </c>
      <c r="K28" s="7">
        <f t="shared" si="3"/>
        <v>0</v>
      </c>
      <c r="L28">
        <f t="shared" si="4"/>
        <v>2142</v>
      </c>
      <c r="M28" s="3">
        <f t="shared" si="5"/>
        <v>557</v>
      </c>
      <c r="N28">
        <f t="shared" si="6"/>
        <v>514</v>
      </c>
      <c r="O28">
        <f t="shared" si="7"/>
        <v>369</v>
      </c>
      <c r="P28">
        <f t="shared" si="8"/>
        <v>369</v>
      </c>
    </row>
    <row r="29" spans="1:16" x14ac:dyDescent="0.3">
      <c r="A29" s="4">
        <v>1</v>
      </c>
      <c r="B29">
        <v>119</v>
      </c>
      <c r="C29" s="9">
        <f t="shared" si="0"/>
        <v>1704</v>
      </c>
      <c r="D29" s="3"/>
      <c r="G29" s="9">
        <f t="shared" si="1"/>
        <v>43</v>
      </c>
      <c r="I29" s="7">
        <f t="shared" si="2"/>
        <v>145</v>
      </c>
      <c r="K29" s="7">
        <f t="shared" si="3"/>
        <v>0</v>
      </c>
      <c r="L29">
        <f t="shared" si="4"/>
        <v>2261</v>
      </c>
      <c r="M29" s="3">
        <f t="shared" si="5"/>
        <v>557</v>
      </c>
      <c r="N29">
        <f t="shared" si="6"/>
        <v>514</v>
      </c>
      <c r="O29">
        <f t="shared" si="7"/>
        <v>369</v>
      </c>
      <c r="P29">
        <f t="shared" si="8"/>
        <v>369</v>
      </c>
    </row>
    <row r="30" spans="1:16" x14ac:dyDescent="0.3">
      <c r="A30" s="4">
        <v>1.0416666666666701</v>
      </c>
      <c r="B30">
        <v>119</v>
      </c>
      <c r="C30" s="9">
        <f t="shared" si="0"/>
        <v>1823</v>
      </c>
      <c r="D30" s="3"/>
      <c r="G30" s="9">
        <f t="shared" si="1"/>
        <v>43</v>
      </c>
      <c r="I30" s="7">
        <f t="shared" si="2"/>
        <v>145</v>
      </c>
      <c r="K30" s="7">
        <f t="shared" si="3"/>
        <v>0</v>
      </c>
      <c r="L30">
        <f t="shared" si="4"/>
        <v>2380</v>
      </c>
      <c r="M30" s="3">
        <f t="shared" si="5"/>
        <v>557</v>
      </c>
      <c r="N30">
        <f t="shared" si="6"/>
        <v>514</v>
      </c>
      <c r="O30">
        <f t="shared" si="7"/>
        <v>369</v>
      </c>
      <c r="P30">
        <f t="shared" si="8"/>
        <v>369</v>
      </c>
    </row>
    <row r="31" spans="1:16" x14ac:dyDescent="0.3">
      <c r="A31" s="4">
        <v>1.0833333333333299</v>
      </c>
      <c r="B31">
        <v>119</v>
      </c>
      <c r="C31" s="9">
        <f t="shared" si="0"/>
        <v>1942</v>
      </c>
      <c r="D31" s="3"/>
      <c r="G31" s="9">
        <f t="shared" si="1"/>
        <v>43</v>
      </c>
      <c r="I31" s="7">
        <f t="shared" si="2"/>
        <v>145</v>
      </c>
      <c r="K31" s="7">
        <f t="shared" si="3"/>
        <v>0</v>
      </c>
      <c r="L31">
        <f t="shared" si="4"/>
        <v>2499</v>
      </c>
      <c r="M31" s="3">
        <f t="shared" si="5"/>
        <v>557</v>
      </c>
      <c r="N31">
        <f t="shared" si="6"/>
        <v>514</v>
      </c>
      <c r="O31">
        <f t="shared" si="7"/>
        <v>369</v>
      </c>
      <c r="P31">
        <f t="shared" si="8"/>
        <v>369</v>
      </c>
    </row>
    <row r="32" spans="1:16" x14ac:dyDescent="0.3">
      <c r="A32" s="4">
        <v>1.125</v>
      </c>
      <c r="B32">
        <v>119</v>
      </c>
      <c r="C32" s="9">
        <f t="shared" si="0"/>
        <v>2061</v>
      </c>
      <c r="D32" s="3"/>
      <c r="G32" s="9">
        <f t="shared" si="1"/>
        <v>43</v>
      </c>
      <c r="I32" s="7">
        <f t="shared" si="2"/>
        <v>145</v>
      </c>
      <c r="K32" s="7">
        <f t="shared" si="3"/>
        <v>0</v>
      </c>
      <c r="L32">
        <f t="shared" si="4"/>
        <v>2618</v>
      </c>
      <c r="M32" s="3">
        <f t="shared" si="5"/>
        <v>557</v>
      </c>
      <c r="N32">
        <f t="shared" si="6"/>
        <v>514</v>
      </c>
      <c r="O32">
        <f t="shared" si="7"/>
        <v>369</v>
      </c>
      <c r="P32">
        <f t="shared" si="8"/>
        <v>369</v>
      </c>
    </row>
    <row r="33" spans="1:16" x14ac:dyDescent="0.3">
      <c r="A33" s="4">
        <v>1.1666666666666701</v>
      </c>
      <c r="B33">
        <v>119</v>
      </c>
      <c r="C33" s="9">
        <f t="shared" si="0"/>
        <v>2180</v>
      </c>
      <c r="D33" s="3"/>
      <c r="G33" s="9">
        <f t="shared" si="1"/>
        <v>43</v>
      </c>
      <c r="I33" s="7">
        <f t="shared" si="2"/>
        <v>145</v>
      </c>
      <c r="K33" s="7">
        <f t="shared" si="3"/>
        <v>0</v>
      </c>
      <c r="L33">
        <f t="shared" si="4"/>
        <v>2737</v>
      </c>
      <c r="M33" s="3">
        <f t="shared" si="5"/>
        <v>557</v>
      </c>
      <c r="N33">
        <f t="shared" si="6"/>
        <v>514</v>
      </c>
      <c r="O33">
        <f t="shared" si="7"/>
        <v>369</v>
      </c>
      <c r="P33">
        <f t="shared" si="8"/>
        <v>369</v>
      </c>
    </row>
    <row r="34" spans="1:16" x14ac:dyDescent="0.3">
      <c r="A34" s="4">
        <v>1.2083333333333299</v>
      </c>
      <c r="B34">
        <v>119</v>
      </c>
      <c r="C34" s="9">
        <f t="shared" si="0"/>
        <v>2299</v>
      </c>
      <c r="D34" s="3"/>
      <c r="G34" s="9">
        <f t="shared" si="1"/>
        <v>43</v>
      </c>
      <c r="I34" s="7">
        <f t="shared" si="2"/>
        <v>145</v>
      </c>
      <c r="K34" s="7">
        <f t="shared" si="3"/>
        <v>0</v>
      </c>
      <c r="L34">
        <f t="shared" si="4"/>
        <v>2856</v>
      </c>
      <c r="M34" s="3">
        <f t="shared" si="5"/>
        <v>557</v>
      </c>
      <c r="N34">
        <f t="shared" si="6"/>
        <v>514</v>
      </c>
      <c r="O34">
        <f t="shared" si="7"/>
        <v>369</v>
      </c>
      <c r="P34">
        <f t="shared" si="8"/>
        <v>369</v>
      </c>
    </row>
    <row r="35" spans="1:16" x14ac:dyDescent="0.3">
      <c r="A35" s="4">
        <v>1.25</v>
      </c>
      <c r="B35">
        <v>119</v>
      </c>
      <c r="C35" s="9">
        <f t="shared" si="0"/>
        <v>2418</v>
      </c>
      <c r="D35" s="3"/>
      <c r="G35" s="9">
        <f t="shared" si="1"/>
        <v>43</v>
      </c>
      <c r="I35" s="7">
        <f t="shared" si="2"/>
        <v>145</v>
      </c>
      <c r="K35" s="7">
        <f t="shared" si="3"/>
        <v>0</v>
      </c>
      <c r="L35">
        <f t="shared" si="4"/>
        <v>2975</v>
      </c>
      <c r="M35" s="3">
        <f t="shared" si="5"/>
        <v>557</v>
      </c>
      <c r="N35">
        <f t="shared" si="6"/>
        <v>514</v>
      </c>
      <c r="O35">
        <f t="shared" si="7"/>
        <v>369</v>
      </c>
      <c r="P35">
        <f t="shared" si="8"/>
        <v>369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D384-1E2B-4FAA-86FC-F66959FE8BDB}">
  <dimension ref="A1:P35"/>
  <sheetViews>
    <sheetView topLeftCell="A10" workbookViewId="0">
      <selection activeCell="C37" sqref="C37"/>
    </sheetView>
  </sheetViews>
  <sheetFormatPr defaultRowHeight="14.4" x14ac:dyDescent="0.3"/>
  <cols>
    <col min="1" max="2" width="12.21875" customWidth="1"/>
    <col min="3" max="3" width="12.21875" style="7" customWidth="1"/>
    <col min="4" max="6" width="12.21875" customWidth="1"/>
    <col min="7" max="7" width="12.21875" style="7" customWidth="1"/>
    <col min="8" max="8" width="12.21875" customWidth="1"/>
    <col min="9" max="9" width="12.21875" style="7" customWidth="1"/>
    <col min="10" max="10" width="12.21875" customWidth="1"/>
    <col min="11" max="11" width="12.21875" style="7" customWidth="1"/>
    <col min="12" max="15" width="12.21875" customWidth="1"/>
    <col min="16" max="16" width="11.44140625" customWidth="1"/>
    <col min="17" max="17" width="11.5546875" customWidth="1"/>
    <col min="18" max="18" width="11.33203125" customWidth="1"/>
  </cols>
  <sheetData>
    <row r="1" spans="1:16" x14ac:dyDescent="0.3">
      <c r="A1" t="s">
        <v>69</v>
      </c>
      <c r="B1" t="s">
        <v>64</v>
      </c>
      <c r="C1" s="7" t="s">
        <v>70</v>
      </c>
      <c r="D1" t="s">
        <v>71</v>
      </c>
      <c r="E1" s="7" t="s">
        <v>72</v>
      </c>
    </row>
    <row r="2" spans="1:16" x14ac:dyDescent="0.3">
      <c r="A2" t="s">
        <v>65</v>
      </c>
      <c r="B2">
        <v>30.3</v>
      </c>
      <c r="C2" s="9">
        <f>3600/B2</f>
        <v>118.8118811881188</v>
      </c>
      <c r="D2">
        <v>24</v>
      </c>
      <c r="E2" s="7">
        <f>D2*C2</f>
        <v>2851.4851485148511</v>
      </c>
    </row>
    <row r="3" spans="1:16" x14ac:dyDescent="0.3">
      <c r="A3" t="s">
        <v>66</v>
      </c>
      <c r="B3">
        <v>35</v>
      </c>
      <c r="C3" s="9">
        <f>3600/B3</f>
        <v>102.85714285714286</v>
      </c>
      <c r="D3">
        <v>21</v>
      </c>
      <c r="E3" s="7">
        <f>D3*C3</f>
        <v>2160</v>
      </c>
    </row>
    <row r="4" spans="1:16" x14ac:dyDescent="0.3">
      <c r="A4" t="s">
        <v>66</v>
      </c>
      <c r="B4">
        <v>35</v>
      </c>
      <c r="C4" s="9">
        <f>3600/B4</f>
        <v>102.85714285714286</v>
      </c>
      <c r="D4">
        <v>0</v>
      </c>
      <c r="E4" s="7">
        <f>D4*C4</f>
        <v>0</v>
      </c>
    </row>
    <row r="5" spans="1:16" x14ac:dyDescent="0.3">
      <c r="A5" t="s">
        <v>67</v>
      </c>
      <c r="B5">
        <v>24.7</v>
      </c>
      <c r="C5" s="9">
        <f>3600/B5</f>
        <v>145.74898785425103</v>
      </c>
      <c r="D5">
        <v>21</v>
      </c>
      <c r="E5" s="7">
        <f>D5*C5</f>
        <v>3060.7287449392716</v>
      </c>
    </row>
    <row r="6" spans="1:16" x14ac:dyDescent="0.3">
      <c r="A6" t="s">
        <v>41</v>
      </c>
      <c r="B6">
        <v>14.86</v>
      </c>
      <c r="C6" s="9">
        <f>3600/B6</f>
        <v>242.26110363391658</v>
      </c>
      <c r="D6">
        <f>24-9</f>
        <v>15</v>
      </c>
      <c r="E6" s="7">
        <f>D6*C6</f>
        <v>3633.9165545087485</v>
      </c>
    </row>
    <row r="7" spans="1:16" x14ac:dyDescent="0.3">
      <c r="A7" t="s">
        <v>68</v>
      </c>
      <c r="B7">
        <v>19.100000000000001</v>
      </c>
      <c r="C7" s="9">
        <f>3600/B7</f>
        <v>188.48167539267016</v>
      </c>
      <c r="D7">
        <v>21</v>
      </c>
      <c r="E7" s="7">
        <f>D7*C7</f>
        <v>3958.1151832460732</v>
      </c>
    </row>
    <row r="10" spans="1:16" ht="43.2" x14ac:dyDescent="0.3">
      <c r="A10" s="5" t="s">
        <v>81</v>
      </c>
      <c r="B10" s="5" t="s">
        <v>73</v>
      </c>
      <c r="C10" s="8" t="s">
        <v>88</v>
      </c>
      <c r="D10" s="6" t="s">
        <v>74</v>
      </c>
      <c r="E10" s="5" t="s">
        <v>75</v>
      </c>
      <c r="F10" s="5" t="s">
        <v>76</v>
      </c>
      <c r="G10" s="8" t="s">
        <v>80</v>
      </c>
      <c r="H10" s="5" t="s">
        <v>77</v>
      </c>
      <c r="I10" s="8" t="s">
        <v>79</v>
      </c>
      <c r="J10" s="5" t="s">
        <v>78</v>
      </c>
      <c r="K10" s="8" t="s">
        <v>82</v>
      </c>
      <c r="L10" s="5" t="s">
        <v>83</v>
      </c>
      <c r="M10" s="5" t="s">
        <v>84</v>
      </c>
      <c r="N10" s="5" t="s">
        <v>85</v>
      </c>
      <c r="O10" s="5" t="s">
        <v>86</v>
      </c>
      <c r="P10" s="5" t="s">
        <v>87</v>
      </c>
    </row>
    <row r="11" spans="1:16" x14ac:dyDescent="0.3">
      <c r="A11" s="4">
        <v>0.25</v>
      </c>
      <c r="B11">
        <v>119</v>
      </c>
      <c r="C11" s="9">
        <f>L11-M11</f>
        <v>0</v>
      </c>
      <c r="D11" s="3">
        <v>119</v>
      </c>
      <c r="E11">
        <v>103</v>
      </c>
      <c r="F11">
        <v>0</v>
      </c>
      <c r="G11" s="9">
        <f>M11-N11</f>
        <v>16</v>
      </c>
      <c r="H11">
        <v>103</v>
      </c>
      <c r="I11" s="7">
        <f>N11-O11</f>
        <v>0</v>
      </c>
      <c r="J11">
        <v>103</v>
      </c>
      <c r="K11" s="7">
        <f>O11-P11</f>
        <v>0</v>
      </c>
      <c r="L11">
        <f>B11</f>
        <v>119</v>
      </c>
      <c r="M11" s="3">
        <f>D11</f>
        <v>119</v>
      </c>
      <c r="N11">
        <f>E11+F11</f>
        <v>103</v>
      </c>
      <c r="O11">
        <f>H11</f>
        <v>103</v>
      </c>
      <c r="P11">
        <f>J11</f>
        <v>103</v>
      </c>
    </row>
    <row r="12" spans="1:16" x14ac:dyDescent="0.3">
      <c r="A12" s="4">
        <v>0.29166666666666702</v>
      </c>
      <c r="B12">
        <v>119</v>
      </c>
      <c r="C12" s="9">
        <f t="shared" ref="C12:C35" si="0">L12-M12</f>
        <v>0</v>
      </c>
      <c r="D12" s="3">
        <v>119</v>
      </c>
      <c r="E12">
        <v>103</v>
      </c>
      <c r="F12">
        <v>0</v>
      </c>
      <c r="G12" s="9">
        <f t="shared" ref="G12:G35" si="1">M12-N12</f>
        <v>32</v>
      </c>
      <c r="H12">
        <v>103</v>
      </c>
      <c r="I12" s="7">
        <f t="shared" ref="I12:I35" si="2">N12-O12</f>
        <v>0</v>
      </c>
      <c r="J12">
        <v>103</v>
      </c>
      <c r="K12" s="7">
        <f t="shared" ref="K12:K35" si="3">O12-P12</f>
        <v>0</v>
      </c>
      <c r="L12">
        <f>B12+L11</f>
        <v>238</v>
      </c>
      <c r="M12" s="3">
        <f>D12+M11</f>
        <v>238</v>
      </c>
      <c r="N12">
        <f>E12+F12+N11</f>
        <v>206</v>
      </c>
      <c r="O12">
        <f>H12+O11</f>
        <v>206</v>
      </c>
      <c r="P12">
        <f>J12+P11</f>
        <v>206</v>
      </c>
    </row>
    <row r="13" spans="1:16" x14ac:dyDescent="0.3">
      <c r="A13" s="4">
        <v>0.33333333333333298</v>
      </c>
      <c r="B13">
        <v>119</v>
      </c>
      <c r="C13" s="9">
        <f t="shared" si="0"/>
        <v>0</v>
      </c>
      <c r="D13" s="3">
        <v>119</v>
      </c>
      <c r="E13">
        <v>103</v>
      </c>
      <c r="F13">
        <v>0</v>
      </c>
      <c r="G13" s="9">
        <f t="shared" si="1"/>
        <v>48</v>
      </c>
      <c r="H13">
        <v>103</v>
      </c>
      <c r="I13" s="7">
        <f t="shared" si="2"/>
        <v>0</v>
      </c>
      <c r="J13">
        <v>103</v>
      </c>
      <c r="K13" s="7">
        <f t="shared" si="3"/>
        <v>0</v>
      </c>
      <c r="L13">
        <f>B13+L12</f>
        <v>357</v>
      </c>
      <c r="M13" s="3">
        <f>D13+M12</f>
        <v>357</v>
      </c>
      <c r="N13">
        <f>E13+F13+N12</f>
        <v>309</v>
      </c>
      <c r="O13">
        <f>H13+O12</f>
        <v>309</v>
      </c>
      <c r="P13">
        <f>J13+P12</f>
        <v>309</v>
      </c>
    </row>
    <row r="14" spans="1:16" x14ac:dyDescent="0.3">
      <c r="A14" s="4">
        <v>0.375</v>
      </c>
      <c r="B14">
        <v>119</v>
      </c>
      <c r="C14" s="9">
        <f t="shared" si="0"/>
        <v>0</v>
      </c>
      <c r="D14" s="3">
        <v>119</v>
      </c>
      <c r="E14">
        <v>103</v>
      </c>
      <c r="F14">
        <v>0</v>
      </c>
      <c r="G14" s="9">
        <f t="shared" si="1"/>
        <v>64</v>
      </c>
      <c r="H14">
        <v>103</v>
      </c>
      <c r="I14" s="7">
        <f t="shared" si="2"/>
        <v>0</v>
      </c>
      <c r="J14">
        <v>103</v>
      </c>
      <c r="K14" s="7">
        <f t="shared" si="3"/>
        <v>0</v>
      </c>
      <c r="L14">
        <f>B14+L13</f>
        <v>476</v>
      </c>
      <c r="M14" s="3">
        <f>D14+M13</f>
        <v>476</v>
      </c>
      <c r="N14">
        <f>E14+F14+N13</f>
        <v>412</v>
      </c>
      <c r="O14">
        <f>H14+O13</f>
        <v>412</v>
      </c>
      <c r="P14">
        <f>J14+P13</f>
        <v>412</v>
      </c>
    </row>
    <row r="15" spans="1:16" x14ac:dyDescent="0.3">
      <c r="A15" s="4">
        <v>0.41666666666666702</v>
      </c>
      <c r="B15">
        <v>119</v>
      </c>
      <c r="C15" s="9">
        <f t="shared" si="0"/>
        <v>0</v>
      </c>
      <c r="D15" s="3">
        <v>119</v>
      </c>
      <c r="E15">
        <v>103</v>
      </c>
      <c r="F15">
        <v>0</v>
      </c>
      <c r="G15" s="9">
        <f t="shared" si="1"/>
        <v>80</v>
      </c>
      <c r="H15">
        <v>103</v>
      </c>
      <c r="I15" s="7">
        <f t="shared" si="2"/>
        <v>0</v>
      </c>
      <c r="J15">
        <v>0</v>
      </c>
      <c r="K15" s="7">
        <f t="shared" si="3"/>
        <v>103</v>
      </c>
      <c r="L15">
        <f>B15+L14</f>
        <v>595</v>
      </c>
      <c r="M15" s="3">
        <f>D15+M14</f>
        <v>595</v>
      </c>
      <c r="N15">
        <f>E15+F15+N14</f>
        <v>515</v>
      </c>
      <c r="O15">
        <f>H15+O14</f>
        <v>515</v>
      </c>
      <c r="P15">
        <f>J15+P14</f>
        <v>412</v>
      </c>
    </row>
    <row r="16" spans="1:16" x14ac:dyDescent="0.3">
      <c r="A16" s="4">
        <v>0.45833333333333298</v>
      </c>
      <c r="B16">
        <v>119</v>
      </c>
      <c r="C16" s="9">
        <f t="shared" si="0"/>
        <v>0</v>
      </c>
      <c r="D16" s="3">
        <v>119</v>
      </c>
      <c r="E16">
        <v>103</v>
      </c>
      <c r="F16">
        <v>0</v>
      </c>
      <c r="G16" s="9">
        <f t="shared" si="1"/>
        <v>96</v>
      </c>
      <c r="H16">
        <v>103</v>
      </c>
      <c r="I16" s="7">
        <f t="shared" si="2"/>
        <v>0</v>
      </c>
      <c r="J16">
        <v>0</v>
      </c>
      <c r="K16" s="7">
        <f t="shared" si="3"/>
        <v>206</v>
      </c>
      <c r="L16">
        <f t="shared" ref="L16:L29" si="4">B16+L15</f>
        <v>714</v>
      </c>
      <c r="M16" s="3">
        <f>D16+M15</f>
        <v>714</v>
      </c>
      <c r="N16">
        <f>E16+F16+N15</f>
        <v>618</v>
      </c>
      <c r="O16">
        <f>H16+O15</f>
        <v>618</v>
      </c>
      <c r="P16">
        <f>J16+P15</f>
        <v>412</v>
      </c>
    </row>
    <row r="17" spans="1:16" x14ac:dyDescent="0.3">
      <c r="A17" s="4">
        <v>0.5</v>
      </c>
      <c r="B17">
        <v>119</v>
      </c>
      <c r="C17" s="9">
        <f t="shared" si="0"/>
        <v>0</v>
      </c>
      <c r="D17" s="3">
        <v>119</v>
      </c>
      <c r="E17">
        <v>103</v>
      </c>
      <c r="F17">
        <v>0</v>
      </c>
      <c r="G17" s="9">
        <f t="shared" si="1"/>
        <v>112</v>
      </c>
      <c r="H17">
        <v>0</v>
      </c>
      <c r="I17" s="7">
        <f t="shared" si="2"/>
        <v>103</v>
      </c>
      <c r="J17">
        <v>188</v>
      </c>
      <c r="K17" s="7">
        <f t="shared" si="3"/>
        <v>18</v>
      </c>
      <c r="L17">
        <f t="shared" si="4"/>
        <v>833</v>
      </c>
      <c r="M17" s="3">
        <f t="shared" ref="M17:M29" si="5">D17+M16</f>
        <v>833</v>
      </c>
      <c r="N17">
        <f t="shared" ref="N17:N29" si="6">E17+F17+N16</f>
        <v>721</v>
      </c>
      <c r="O17">
        <f t="shared" ref="O17:O29" si="7">H17+O16</f>
        <v>618</v>
      </c>
      <c r="P17">
        <f t="shared" ref="P17:P29" si="8">J17+P16</f>
        <v>600</v>
      </c>
    </row>
    <row r="18" spans="1:16" x14ac:dyDescent="0.3">
      <c r="A18" s="4">
        <v>0.54166666666666696</v>
      </c>
      <c r="B18">
        <v>119</v>
      </c>
      <c r="C18" s="9">
        <f t="shared" si="0"/>
        <v>0</v>
      </c>
      <c r="D18" s="3">
        <v>119</v>
      </c>
      <c r="E18">
        <v>103</v>
      </c>
      <c r="F18">
        <v>103</v>
      </c>
      <c r="G18" s="9">
        <f t="shared" si="1"/>
        <v>25</v>
      </c>
      <c r="H18">
        <v>125</v>
      </c>
      <c r="I18" s="7">
        <f t="shared" si="2"/>
        <v>184</v>
      </c>
      <c r="J18">
        <v>143</v>
      </c>
      <c r="K18" s="7">
        <f t="shared" si="3"/>
        <v>0</v>
      </c>
      <c r="L18">
        <f t="shared" si="4"/>
        <v>952</v>
      </c>
      <c r="M18" s="3">
        <f t="shared" si="5"/>
        <v>952</v>
      </c>
      <c r="N18">
        <f t="shared" si="6"/>
        <v>927</v>
      </c>
      <c r="O18">
        <f t="shared" si="7"/>
        <v>743</v>
      </c>
      <c r="P18">
        <f t="shared" si="8"/>
        <v>743</v>
      </c>
    </row>
    <row r="19" spans="1:16" x14ac:dyDescent="0.3">
      <c r="A19" s="4">
        <v>0.58333333333333304</v>
      </c>
      <c r="B19">
        <v>119</v>
      </c>
      <c r="C19" s="9">
        <f t="shared" si="0"/>
        <v>0</v>
      </c>
      <c r="D19" s="3">
        <v>119</v>
      </c>
      <c r="E19">
        <v>103</v>
      </c>
      <c r="F19">
        <f>103-62</f>
        <v>41</v>
      </c>
      <c r="G19" s="9">
        <f t="shared" si="1"/>
        <v>0</v>
      </c>
      <c r="H19">
        <v>125</v>
      </c>
      <c r="I19" s="7">
        <f t="shared" si="2"/>
        <v>203</v>
      </c>
      <c r="J19">
        <v>125</v>
      </c>
      <c r="K19" s="7">
        <f t="shared" si="3"/>
        <v>0</v>
      </c>
      <c r="L19">
        <f t="shared" si="4"/>
        <v>1071</v>
      </c>
      <c r="M19" s="3">
        <f t="shared" si="5"/>
        <v>1071</v>
      </c>
      <c r="N19">
        <f t="shared" si="6"/>
        <v>1071</v>
      </c>
      <c r="O19">
        <f t="shared" si="7"/>
        <v>868</v>
      </c>
      <c r="P19">
        <f t="shared" si="8"/>
        <v>868</v>
      </c>
    </row>
    <row r="20" spans="1:16" x14ac:dyDescent="0.3">
      <c r="A20" s="4">
        <v>0.625</v>
      </c>
      <c r="B20">
        <v>119</v>
      </c>
      <c r="C20" s="9">
        <f t="shared" si="0"/>
        <v>119</v>
      </c>
      <c r="D20" s="3">
        <v>0</v>
      </c>
      <c r="E20">
        <v>0</v>
      </c>
      <c r="F20">
        <v>0</v>
      </c>
      <c r="G20" s="9">
        <f t="shared" si="1"/>
        <v>0</v>
      </c>
      <c r="H20">
        <v>203</v>
      </c>
      <c r="I20" s="7">
        <f t="shared" si="2"/>
        <v>0</v>
      </c>
      <c r="J20">
        <v>188</v>
      </c>
      <c r="K20" s="7">
        <f t="shared" si="3"/>
        <v>15</v>
      </c>
      <c r="L20">
        <f t="shared" si="4"/>
        <v>1190</v>
      </c>
      <c r="M20" s="3">
        <f t="shared" si="5"/>
        <v>1071</v>
      </c>
      <c r="N20">
        <f t="shared" si="6"/>
        <v>1071</v>
      </c>
      <c r="O20">
        <f t="shared" si="7"/>
        <v>1071</v>
      </c>
      <c r="P20">
        <f t="shared" si="8"/>
        <v>1056</v>
      </c>
    </row>
    <row r="21" spans="1:16" x14ac:dyDescent="0.3">
      <c r="A21" s="4">
        <v>0.66666666666666696</v>
      </c>
      <c r="B21">
        <v>119</v>
      </c>
      <c r="C21" s="9">
        <f t="shared" si="0"/>
        <v>92</v>
      </c>
      <c r="D21" s="3">
        <v>146</v>
      </c>
      <c r="E21">
        <v>103</v>
      </c>
      <c r="F21">
        <v>0</v>
      </c>
      <c r="G21" s="9">
        <f t="shared" si="1"/>
        <v>43</v>
      </c>
      <c r="H21">
        <f>119-16</f>
        <v>103</v>
      </c>
      <c r="I21" s="7">
        <f t="shared" si="2"/>
        <v>0</v>
      </c>
      <c r="J21">
        <v>118</v>
      </c>
      <c r="K21" s="7">
        <f t="shared" si="3"/>
        <v>0</v>
      </c>
      <c r="L21">
        <f t="shared" si="4"/>
        <v>1309</v>
      </c>
      <c r="M21" s="3">
        <f t="shared" si="5"/>
        <v>1217</v>
      </c>
      <c r="N21">
        <f t="shared" si="6"/>
        <v>1174</v>
      </c>
      <c r="O21">
        <f t="shared" si="7"/>
        <v>1174</v>
      </c>
      <c r="P21">
        <f t="shared" si="8"/>
        <v>1174</v>
      </c>
    </row>
    <row r="22" spans="1:16" x14ac:dyDescent="0.3">
      <c r="A22" s="4">
        <v>0.70833333333333304</v>
      </c>
      <c r="B22">
        <v>119</v>
      </c>
      <c r="C22" s="9">
        <f t="shared" si="0"/>
        <v>65</v>
      </c>
      <c r="D22" s="3">
        <v>146</v>
      </c>
      <c r="E22">
        <v>103</v>
      </c>
      <c r="F22">
        <v>0</v>
      </c>
      <c r="G22" s="9">
        <f t="shared" si="1"/>
        <v>86</v>
      </c>
      <c r="H22">
        <v>103</v>
      </c>
      <c r="I22" s="7">
        <f t="shared" si="2"/>
        <v>0</v>
      </c>
      <c r="J22">
        <v>103</v>
      </c>
      <c r="K22" s="7">
        <f t="shared" si="3"/>
        <v>0</v>
      </c>
      <c r="L22">
        <f t="shared" si="4"/>
        <v>1428</v>
      </c>
      <c r="M22" s="3">
        <f t="shared" si="5"/>
        <v>1363</v>
      </c>
      <c r="N22">
        <f t="shared" si="6"/>
        <v>1277</v>
      </c>
      <c r="O22">
        <f t="shared" si="7"/>
        <v>1277</v>
      </c>
      <c r="P22">
        <f t="shared" si="8"/>
        <v>1277</v>
      </c>
    </row>
    <row r="23" spans="1:16" x14ac:dyDescent="0.3">
      <c r="A23" s="4">
        <v>0.75</v>
      </c>
      <c r="B23">
        <v>119</v>
      </c>
      <c r="C23" s="9">
        <f t="shared" si="0"/>
        <v>38</v>
      </c>
      <c r="D23" s="3">
        <v>146</v>
      </c>
      <c r="E23">
        <v>103</v>
      </c>
      <c r="F23">
        <v>103</v>
      </c>
      <c r="G23" s="9">
        <f t="shared" si="1"/>
        <v>26</v>
      </c>
      <c r="H23">
        <v>125</v>
      </c>
      <c r="I23" s="7">
        <f t="shared" si="2"/>
        <v>81</v>
      </c>
      <c r="J23">
        <v>125</v>
      </c>
      <c r="K23" s="7">
        <f t="shared" si="3"/>
        <v>0</v>
      </c>
      <c r="L23">
        <f t="shared" si="4"/>
        <v>1547</v>
      </c>
      <c r="M23" s="3">
        <f t="shared" si="5"/>
        <v>1509</v>
      </c>
      <c r="N23">
        <f t="shared" si="6"/>
        <v>1483</v>
      </c>
      <c r="O23">
        <f t="shared" si="7"/>
        <v>1402</v>
      </c>
      <c r="P23">
        <f t="shared" si="8"/>
        <v>1402</v>
      </c>
    </row>
    <row r="24" spans="1:16" x14ac:dyDescent="0.3">
      <c r="A24" s="4">
        <v>0.79166666666666696</v>
      </c>
      <c r="B24">
        <v>119</v>
      </c>
      <c r="C24" s="9">
        <f t="shared" si="0"/>
        <v>11</v>
      </c>
      <c r="D24" s="3">
        <v>146</v>
      </c>
      <c r="E24">
        <v>103</v>
      </c>
      <c r="F24">
        <f>103-34</f>
        <v>69</v>
      </c>
      <c r="G24" s="9">
        <f t="shared" si="1"/>
        <v>0</v>
      </c>
      <c r="H24">
        <v>125</v>
      </c>
      <c r="I24" s="7">
        <f t="shared" si="2"/>
        <v>128</v>
      </c>
      <c r="J24">
        <v>125</v>
      </c>
      <c r="K24" s="7">
        <f t="shared" si="3"/>
        <v>0</v>
      </c>
      <c r="L24">
        <f t="shared" si="4"/>
        <v>1666</v>
      </c>
      <c r="M24" s="3">
        <f t="shared" si="5"/>
        <v>1655</v>
      </c>
      <c r="N24">
        <f t="shared" si="6"/>
        <v>1655</v>
      </c>
      <c r="O24">
        <f t="shared" si="7"/>
        <v>1527</v>
      </c>
      <c r="P24">
        <f t="shared" si="8"/>
        <v>1527</v>
      </c>
    </row>
    <row r="25" spans="1:16" x14ac:dyDescent="0.3">
      <c r="A25" s="4">
        <v>0.83333333333333304</v>
      </c>
      <c r="B25">
        <v>119</v>
      </c>
      <c r="C25" s="9">
        <f t="shared" si="0"/>
        <v>0</v>
      </c>
      <c r="D25" s="3">
        <v>130</v>
      </c>
      <c r="E25">
        <v>103</v>
      </c>
      <c r="F25">
        <v>0</v>
      </c>
      <c r="G25" s="9">
        <f t="shared" si="1"/>
        <v>27</v>
      </c>
      <c r="H25">
        <v>225</v>
      </c>
      <c r="I25" s="7">
        <f t="shared" si="2"/>
        <v>6</v>
      </c>
      <c r="J25">
        <v>0</v>
      </c>
      <c r="K25" s="7">
        <f t="shared" si="3"/>
        <v>225</v>
      </c>
      <c r="L25">
        <f t="shared" si="4"/>
        <v>1785</v>
      </c>
      <c r="M25" s="3">
        <f t="shared" si="5"/>
        <v>1785</v>
      </c>
      <c r="N25">
        <f t="shared" si="6"/>
        <v>1758</v>
      </c>
      <c r="O25">
        <f t="shared" si="7"/>
        <v>1752</v>
      </c>
      <c r="P25">
        <f t="shared" si="8"/>
        <v>1527</v>
      </c>
    </row>
    <row r="26" spans="1:16" x14ac:dyDescent="0.3">
      <c r="A26" s="4">
        <v>0.875</v>
      </c>
      <c r="B26">
        <v>119</v>
      </c>
      <c r="C26" s="9">
        <f t="shared" si="0"/>
        <v>0</v>
      </c>
      <c r="D26" s="3">
        <f>146-27</f>
        <v>119</v>
      </c>
      <c r="E26">
        <v>103</v>
      </c>
      <c r="F26">
        <v>0</v>
      </c>
      <c r="G26" s="9">
        <f t="shared" si="1"/>
        <v>43</v>
      </c>
      <c r="H26">
        <v>0</v>
      </c>
      <c r="I26" s="7">
        <f t="shared" si="2"/>
        <v>109</v>
      </c>
      <c r="J26">
        <v>188</v>
      </c>
      <c r="K26" s="7">
        <f t="shared" si="3"/>
        <v>37</v>
      </c>
      <c r="L26">
        <f t="shared" si="4"/>
        <v>1904</v>
      </c>
      <c r="M26" s="3">
        <f t="shared" si="5"/>
        <v>1904</v>
      </c>
      <c r="N26">
        <f t="shared" si="6"/>
        <v>1861</v>
      </c>
      <c r="O26">
        <f t="shared" si="7"/>
        <v>1752</v>
      </c>
      <c r="P26">
        <f t="shared" si="8"/>
        <v>1715</v>
      </c>
    </row>
    <row r="27" spans="1:16" x14ac:dyDescent="0.3">
      <c r="A27" s="4">
        <v>0.91666666666666696</v>
      </c>
      <c r="B27">
        <v>119</v>
      </c>
      <c r="C27" s="9">
        <f t="shared" si="0"/>
        <v>0</v>
      </c>
      <c r="D27" s="3">
        <v>119</v>
      </c>
      <c r="E27">
        <v>103</v>
      </c>
      <c r="F27">
        <v>0</v>
      </c>
      <c r="G27" s="9">
        <f t="shared" si="1"/>
        <v>59</v>
      </c>
      <c r="H27">
        <v>212</v>
      </c>
      <c r="I27" s="7">
        <f t="shared" si="2"/>
        <v>0</v>
      </c>
      <c r="J27">
        <v>0</v>
      </c>
      <c r="K27" s="7">
        <f t="shared" si="3"/>
        <v>249</v>
      </c>
      <c r="L27">
        <f t="shared" si="4"/>
        <v>2023</v>
      </c>
      <c r="M27" s="3">
        <f t="shared" si="5"/>
        <v>2023</v>
      </c>
      <c r="N27">
        <f t="shared" si="6"/>
        <v>1964</v>
      </c>
      <c r="O27">
        <f t="shared" si="7"/>
        <v>1964</v>
      </c>
      <c r="P27">
        <f t="shared" si="8"/>
        <v>1715</v>
      </c>
    </row>
    <row r="28" spans="1:16" x14ac:dyDescent="0.3">
      <c r="A28" s="4">
        <v>0.95833333333333304</v>
      </c>
      <c r="B28">
        <v>119</v>
      </c>
      <c r="C28" s="9">
        <f t="shared" si="0"/>
        <v>0</v>
      </c>
      <c r="D28" s="3">
        <v>119</v>
      </c>
      <c r="E28">
        <v>103</v>
      </c>
      <c r="F28">
        <v>0</v>
      </c>
      <c r="G28" s="9">
        <f t="shared" si="1"/>
        <v>75</v>
      </c>
      <c r="H28">
        <v>103</v>
      </c>
      <c r="I28" s="7">
        <f t="shared" si="2"/>
        <v>0</v>
      </c>
      <c r="J28">
        <v>188</v>
      </c>
      <c r="K28" s="7">
        <f t="shared" si="3"/>
        <v>164</v>
      </c>
      <c r="L28">
        <f t="shared" si="4"/>
        <v>2142</v>
      </c>
      <c r="M28" s="3">
        <f t="shared" si="5"/>
        <v>2142</v>
      </c>
      <c r="N28">
        <f t="shared" si="6"/>
        <v>2067</v>
      </c>
      <c r="O28">
        <f t="shared" si="7"/>
        <v>2067</v>
      </c>
      <c r="P28">
        <f t="shared" si="8"/>
        <v>1903</v>
      </c>
    </row>
    <row r="29" spans="1:16" x14ac:dyDescent="0.3">
      <c r="A29" s="4">
        <v>1</v>
      </c>
      <c r="B29">
        <v>119</v>
      </c>
      <c r="C29" s="9">
        <f t="shared" si="0"/>
        <v>0</v>
      </c>
      <c r="D29" s="3">
        <v>119</v>
      </c>
      <c r="E29">
        <v>103</v>
      </c>
      <c r="F29">
        <f>103-12</f>
        <v>91</v>
      </c>
      <c r="G29" s="9">
        <f t="shared" si="1"/>
        <v>0</v>
      </c>
      <c r="H29">
        <v>125</v>
      </c>
      <c r="I29" s="7">
        <f t="shared" si="2"/>
        <v>69</v>
      </c>
      <c r="J29">
        <v>188</v>
      </c>
      <c r="K29" s="7">
        <f t="shared" si="3"/>
        <v>101</v>
      </c>
      <c r="L29">
        <f t="shared" si="4"/>
        <v>2261</v>
      </c>
      <c r="M29" s="3">
        <f t="shared" si="5"/>
        <v>2261</v>
      </c>
      <c r="N29">
        <f t="shared" si="6"/>
        <v>2261</v>
      </c>
      <c r="O29">
        <f t="shared" si="7"/>
        <v>2192</v>
      </c>
      <c r="P29">
        <f t="shared" si="8"/>
        <v>2091</v>
      </c>
    </row>
    <row r="30" spans="1:16" x14ac:dyDescent="0.3">
      <c r="A30" s="4">
        <v>1.0416666666666701</v>
      </c>
      <c r="B30">
        <v>119</v>
      </c>
      <c r="C30" s="9">
        <f t="shared" si="0"/>
        <v>119</v>
      </c>
      <c r="D30" s="3">
        <v>0</v>
      </c>
      <c r="E30">
        <v>0</v>
      </c>
      <c r="F30">
        <v>0</v>
      </c>
      <c r="G30" s="9">
        <f t="shared" si="1"/>
        <v>0</v>
      </c>
      <c r="H30">
        <v>69</v>
      </c>
      <c r="I30" s="7">
        <f t="shared" si="2"/>
        <v>0</v>
      </c>
      <c r="J30">
        <v>170</v>
      </c>
      <c r="K30" s="7">
        <f t="shared" si="3"/>
        <v>0</v>
      </c>
      <c r="L30">
        <f t="shared" ref="L30:L35" si="9">B30+L29</f>
        <v>2380</v>
      </c>
      <c r="M30" s="3">
        <f t="shared" ref="M30:M35" si="10">D30+M29</f>
        <v>2261</v>
      </c>
      <c r="N30">
        <f t="shared" ref="N30:N35" si="11">E30+F30+N29</f>
        <v>2261</v>
      </c>
      <c r="O30">
        <f t="shared" ref="O30:O35" si="12">H30+O29</f>
        <v>2261</v>
      </c>
      <c r="P30">
        <f t="shared" ref="P30:P35" si="13">J30+P29</f>
        <v>2261</v>
      </c>
    </row>
    <row r="31" spans="1:16" x14ac:dyDescent="0.3">
      <c r="A31" s="4">
        <v>1.0833333333333299</v>
      </c>
      <c r="B31">
        <v>119</v>
      </c>
      <c r="C31" s="9">
        <f t="shared" si="0"/>
        <v>92</v>
      </c>
      <c r="D31" s="3">
        <v>146</v>
      </c>
      <c r="E31">
        <v>103</v>
      </c>
      <c r="F31">
        <v>0</v>
      </c>
      <c r="G31" s="9">
        <f t="shared" si="1"/>
        <v>43</v>
      </c>
      <c r="H31">
        <v>103</v>
      </c>
      <c r="I31" s="7">
        <f t="shared" si="2"/>
        <v>0</v>
      </c>
      <c r="J31">
        <v>0</v>
      </c>
      <c r="K31" s="7">
        <f t="shared" si="3"/>
        <v>103</v>
      </c>
      <c r="L31">
        <f t="shared" si="9"/>
        <v>2499</v>
      </c>
      <c r="M31" s="3">
        <f t="shared" si="10"/>
        <v>2407</v>
      </c>
      <c r="N31">
        <f t="shared" si="11"/>
        <v>2364</v>
      </c>
      <c r="O31">
        <f t="shared" si="12"/>
        <v>2364</v>
      </c>
      <c r="P31">
        <f t="shared" si="13"/>
        <v>2261</v>
      </c>
    </row>
    <row r="32" spans="1:16" x14ac:dyDescent="0.3">
      <c r="A32" s="4">
        <v>1.125</v>
      </c>
      <c r="B32">
        <v>119</v>
      </c>
      <c r="C32" s="9">
        <f t="shared" si="0"/>
        <v>65</v>
      </c>
      <c r="D32" s="3">
        <v>146</v>
      </c>
      <c r="E32">
        <v>103</v>
      </c>
      <c r="F32">
        <v>0</v>
      </c>
      <c r="G32" s="9">
        <f t="shared" si="1"/>
        <v>86</v>
      </c>
      <c r="H32">
        <v>103</v>
      </c>
      <c r="I32" s="7">
        <f t="shared" si="2"/>
        <v>0</v>
      </c>
      <c r="J32">
        <v>0</v>
      </c>
      <c r="K32" s="7">
        <f t="shared" si="3"/>
        <v>206</v>
      </c>
      <c r="L32">
        <f t="shared" si="9"/>
        <v>2618</v>
      </c>
      <c r="M32" s="3">
        <f t="shared" si="10"/>
        <v>2553</v>
      </c>
      <c r="N32">
        <f t="shared" si="11"/>
        <v>2467</v>
      </c>
      <c r="O32">
        <f t="shared" si="12"/>
        <v>2467</v>
      </c>
      <c r="P32">
        <f t="shared" si="13"/>
        <v>2261</v>
      </c>
    </row>
    <row r="33" spans="1:16" x14ac:dyDescent="0.3">
      <c r="A33" s="4">
        <v>1.1666666666666701</v>
      </c>
      <c r="B33">
        <v>119</v>
      </c>
      <c r="C33" s="9">
        <f t="shared" si="0"/>
        <v>38</v>
      </c>
      <c r="D33" s="3">
        <v>146</v>
      </c>
      <c r="E33">
        <v>103</v>
      </c>
      <c r="F33">
        <v>0</v>
      </c>
      <c r="G33" s="9">
        <f t="shared" si="1"/>
        <v>129</v>
      </c>
      <c r="H33">
        <v>0</v>
      </c>
      <c r="I33" s="7">
        <f t="shared" si="2"/>
        <v>103</v>
      </c>
      <c r="J33">
        <v>188</v>
      </c>
      <c r="K33" s="7">
        <f t="shared" si="3"/>
        <v>18</v>
      </c>
      <c r="L33">
        <f t="shared" si="9"/>
        <v>2737</v>
      </c>
      <c r="M33" s="3">
        <f t="shared" si="10"/>
        <v>2699</v>
      </c>
      <c r="N33">
        <f t="shared" si="11"/>
        <v>2570</v>
      </c>
      <c r="O33">
        <f t="shared" si="12"/>
        <v>2467</v>
      </c>
      <c r="P33">
        <f t="shared" si="13"/>
        <v>2449</v>
      </c>
    </row>
    <row r="34" spans="1:16" x14ac:dyDescent="0.3">
      <c r="A34" s="4">
        <v>1.2083333333333299</v>
      </c>
      <c r="B34">
        <v>119</v>
      </c>
      <c r="C34" s="9">
        <f t="shared" si="0"/>
        <v>11</v>
      </c>
      <c r="D34" s="3">
        <v>146</v>
      </c>
      <c r="E34">
        <v>103</v>
      </c>
      <c r="F34">
        <v>103</v>
      </c>
      <c r="G34" s="9">
        <f t="shared" si="1"/>
        <v>69</v>
      </c>
      <c r="H34">
        <v>125</v>
      </c>
      <c r="I34" s="7">
        <f t="shared" si="2"/>
        <v>184</v>
      </c>
      <c r="J34">
        <f>188-45</f>
        <v>143</v>
      </c>
      <c r="K34" s="7">
        <f t="shared" si="3"/>
        <v>0</v>
      </c>
      <c r="L34">
        <f t="shared" si="9"/>
        <v>2856</v>
      </c>
      <c r="M34" s="3">
        <f t="shared" si="10"/>
        <v>2845</v>
      </c>
      <c r="N34">
        <f t="shared" si="11"/>
        <v>2776</v>
      </c>
      <c r="O34">
        <f t="shared" si="12"/>
        <v>2592</v>
      </c>
      <c r="P34">
        <f t="shared" si="13"/>
        <v>2592</v>
      </c>
    </row>
    <row r="35" spans="1:16" x14ac:dyDescent="0.3">
      <c r="A35" s="4">
        <v>1.25</v>
      </c>
      <c r="B35">
        <v>119</v>
      </c>
      <c r="C35" s="9">
        <f t="shared" si="0"/>
        <v>0</v>
      </c>
      <c r="D35" s="3">
        <v>130</v>
      </c>
      <c r="E35">
        <v>103</v>
      </c>
      <c r="F35">
        <f>103-7</f>
        <v>96</v>
      </c>
      <c r="G35" s="9">
        <f t="shared" si="1"/>
        <v>0</v>
      </c>
      <c r="H35">
        <v>125</v>
      </c>
      <c r="I35" s="7">
        <f t="shared" si="2"/>
        <v>258</v>
      </c>
      <c r="J35">
        <v>125</v>
      </c>
      <c r="K35" s="7">
        <f t="shared" si="3"/>
        <v>0</v>
      </c>
      <c r="L35">
        <f t="shared" si="9"/>
        <v>2975</v>
      </c>
      <c r="M35" s="3">
        <f t="shared" si="10"/>
        <v>2975</v>
      </c>
      <c r="N35">
        <f t="shared" si="11"/>
        <v>2975</v>
      </c>
      <c r="O35">
        <f t="shared" si="12"/>
        <v>2717</v>
      </c>
      <c r="P35">
        <f t="shared" si="13"/>
        <v>2717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9FBE-4E0A-4545-BE51-2029CB055813}">
  <dimension ref="A1:H25"/>
  <sheetViews>
    <sheetView zoomScale="70" zoomScaleNormal="70" workbookViewId="0">
      <pane xSplit="1" topLeftCell="B1" activePane="topRight" state="frozen"/>
      <selection pane="topRight" activeCell="H26" sqref="H26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6</v>
      </c>
      <c r="C2">
        <v>0</v>
      </c>
      <c r="D2">
        <v>0</v>
      </c>
      <c r="E2">
        <v>0</v>
      </c>
      <c r="G2">
        <f>SUM(Tabela2462[[#This Row],[Operador 1]:[Operador 4]])</f>
        <v>6</v>
      </c>
    </row>
    <row r="3" spans="1:7" x14ac:dyDescent="0.3">
      <c r="A3" t="s">
        <v>1</v>
      </c>
      <c r="B3">
        <v>0</v>
      </c>
      <c r="C3">
        <v>12</v>
      </c>
      <c r="D3">
        <v>0</v>
      </c>
      <c r="E3">
        <v>0</v>
      </c>
      <c r="G3">
        <f>SUM(Tabela2462[[#This Row],[Operador 1]:[Operador 4]])</f>
        <v>12</v>
      </c>
    </row>
    <row r="4" spans="1:7" x14ac:dyDescent="0.3">
      <c r="A4" t="s">
        <v>2</v>
      </c>
      <c r="B4">
        <v>0</v>
      </c>
      <c r="C4">
        <v>11</v>
      </c>
      <c r="D4">
        <v>0</v>
      </c>
      <c r="E4">
        <v>0</v>
      </c>
      <c r="G4">
        <f>SUM(Tabela2462[[#This Row],[Operador 1]:[Operador 4]])</f>
        <v>11</v>
      </c>
    </row>
    <row r="5" spans="1:7" x14ac:dyDescent="0.3">
      <c r="A5" t="s">
        <v>59</v>
      </c>
      <c r="B5">
        <v>6</v>
      </c>
      <c r="C5">
        <v>0</v>
      </c>
      <c r="D5">
        <v>0</v>
      </c>
      <c r="E5">
        <v>0</v>
      </c>
      <c r="G5">
        <f>SUM(Tabela2462[[#This Row],[Operador 1]:[Operador 4]])</f>
        <v>6</v>
      </c>
    </row>
    <row r="6" spans="1:7" x14ac:dyDescent="0.3">
      <c r="A6" t="s">
        <v>4</v>
      </c>
      <c r="B6">
        <v>0</v>
      </c>
      <c r="C6">
        <v>0</v>
      </c>
      <c r="D6">
        <v>0</v>
      </c>
      <c r="E6">
        <v>0</v>
      </c>
      <c r="G6">
        <f>SUM(Tabela2462[[#This Row],[Operador 1]:[Operador 4]])</f>
        <v>0</v>
      </c>
    </row>
    <row r="7" spans="1:7" x14ac:dyDescent="0.3">
      <c r="A7" t="s">
        <v>5</v>
      </c>
      <c r="B7">
        <v>0</v>
      </c>
      <c r="C7">
        <v>0</v>
      </c>
      <c r="D7">
        <v>2</v>
      </c>
      <c r="E7">
        <v>0</v>
      </c>
      <c r="G7">
        <f>SUM(Tabela2462[[#This Row],[Operador 1]:[Operador 4]])</f>
        <v>2</v>
      </c>
    </row>
    <row r="8" spans="1:7" x14ac:dyDescent="0.3">
      <c r="A8" t="s">
        <v>14</v>
      </c>
      <c r="B8">
        <v>0</v>
      </c>
      <c r="C8">
        <v>0</v>
      </c>
      <c r="D8">
        <v>2</v>
      </c>
      <c r="E8">
        <v>0</v>
      </c>
      <c r="G8">
        <f>SUM(Tabela2462[[#This Row],[Operador 1]:[Operador 4]])</f>
        <v>2</v>
      </c>
    </row>
    <row r="9" spans="1:7" x14ac:dyDescent="0.3">
      <c r="A9" t="s">
        <v>16</v>
      </c>
      <c r="B9">
        <v>0</v>
      </c>
      <c r="C9">
        <v>0</v>
      </c>
      <c r="D9">
        <v>6</v>
      </c>
      <c r="E9">
        <v>0</v>
      </c>
      <c r="G9">
        <f>SUM(Tabela2462[[#This Row],[Operador 1]:[Operador 4]])</f>
        <v>6</v>
      </c>
    </row>
    <row r="10" spans="1:7" x14ac:dyDescent="0.3">
      <c r="A10" t="s">
        <v>12</v>
      </c>
      <c r="B10">
        <v>0</v>
      </c>
      <c r="C10">
        <v>0</v>
      </c>
      <c r="D10">
        <v>4.8600000000000003</v>
      </c>
      <c r="E10">
        <v>0</v>
      </c>
      <c r="G10">
        <f>SUM(Tabela2462[[#This Row],[Operador 1]:[Operador 4]])</f>
        <v>4.8600000000000003</v>
      </c>
    </row>
    <row r="11" spans="1:7" x14ac:dyDescent="0.3">
      <c r="A11" t="s">
        <v>7</v>
      </c>
      <c r="B11">
        <v>0</v>
      </c>
      <c r="C11">
        <v>0</v>
      </c>
      <c r="D11">
        <v>0</v>
      </c>
      <c r="E11">
        <v>4</v>
      </c>
      <c r="G11">
        <f>SUM(Tabela2462[[#This Row],[Operador 1]:[Operador 4]])</f>
        <v>4</v>
      </c>
    </row>
    <row r="12" spans="1:7" x14ac:dyDescent="0.3">
      <c r="A12" t="s">
        <v>6</v>
      </c>
      <c r="B12">
        <v>0</v>
      </c>
      <c r="C12">
        <v>0</v>
      </c>
      <c r="D12">
        <v>0</v>
      </c>
      <c r="E12">
        <v>0</v>
      </c>
      <c r="G12">
        <f>SUM(Tabela2462[[#This Row],[Operador 1]:[Operador 4]])</f>
        <v>0</v>
      </c>
    </row>
    <row r="13" spans="1:7" x14ac:dyDescent="0.3">
      <c r="A13" t="s">
        <v>8</v>
      </c>
      <c r="B13">
        <v>0</v>
      </c>
      <c r="C13">
        <v>0</v>
      </c>
      <c r="D13">
        <v>0</v>
      </c>
      <c r="E13">
        <v>2</v>
      </c>
      <c r="G13">
        <f>SUM(Tabela2462[[#This Row],[Operador 1]:[Operador 4]])</f>
        <v>2</v>
      </c>
    </row>
    <row r="14" spans="1:7" x14ac:dyDescent="0.3">
      <c r="A14" t="s">
        <v>15</v>
      </c>
      <c r="B14">
        <v>0</v>
      </c>
      <c r="C14">
        <v>0</v>
      </c>
      <c r="D14">
        <v>0</v>
      </c>
      <c r="E14">
        <v>4</v>
      </c>
      <c r="G14">
        <f>SUM(Tabela2462[[#This Row],[Operador 1]:[Operador 4]])</f>
        <v>4</v>
      </c>
    </row>
    <row r="15" spans="1:7" x14ac:dyDescent="0.3">
      <c r="A15" t="s">
        <v>9</v>
      </c>
      <c r="B15">
        <v>0</v>
      </c>
      <c r="C15">
        <v>0</v>
      </c>
      <c r="D15">
        <v>0</v>
      </c>
      <c r="E15">
        <v>5.25</v>
      </c>
      <c r="G15">
        <f>SUM(Tabela2462[[#This Row],[Operador 1]:[Operador 4]])</f>
        <v>5.25</v>
      </c>
    </row>
    <row r="16" spans="1:7" x14ac:dyDescent="0.3">
      <c r="A16" t="s">
        <v>10</v>
      </c>
      <c r="B16">
        <v>0</v>
      </c>
      <c r="C16">
        <v>0</v>
      </c>
      <c r="D16">
        <v>0</v>
      </c>
      <c r="E16">
        <v>2.25</v>
      </c>
      <c r="G16">
        <f>SUM(Tabela2462[[#This Row],[Operador 1]:[Operador 4]])</f>
        <v>2.25</v>
      </c>
    </row>
    <row r="17" spans="1:8" x14ac:dyDescent="0.3">
      <c r="A17" t="s">
        <v>11</v>
      </c>
      <c r="B17">
        <v>0</v>
      </c>
      <c r="C17">
        <v>0</v>
      </c>
      <c r="D17">
        <v>0</v>
      </c>
      <c r="E17">
        <v>1.666666</v>
      </c>
      <c r="G17">
        <f>SUM(Tabela2462[[#This Row],[Operador 1]:[Operador 4]])</f>
        <v>1.666666</v>
      </c>
    </row>
    <row r="18" spans="1:8" x14ac:dyDescent="0.3">
      <c r="A18" t="s">
        <v>17</v>
      </c>
      <c r="B18">
        <v>28</v>
      </c>
      <c r="C18">
        <v>28</v>
      </c>
      <c r="D18">
        <v>28</v>
      </c>
      <c r="E18">
        <v>28</v>
      </c>
    </row>
    <row r="25" spans="1:8" x14ac:dyDescent="0.3">
      <c r="H25">
        <f>SUM(B2:E17)</f>
        <v>69.026666000000006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A602-7D53-4875-8F52-13EC13DCE210}">
  <dimension ref="A1:H25"/>
  <sheetViews>
    <sheetView zoomScale="70" zoomScaleNormal="70" workbookViewId="0">
      <pane xSplit="1" topLeftCell="B1" activePane="topRight" state="frozen"/>
      <selection pane="topRight" activeCell="E2" sqref="E2:E17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6</v>
      </c>
      <c r="C2">
        <v>0</v>
      </c>
      <c r="D2">
        <v>0</v>
      </c>
      <c r="E2">
        <v>0</v>
      </c>
      <c r="G2">
        <f>SUM(Tabela246212[[#This Row],[Operador 1]:[Operador 4]])</f>
        <v>6</v>
      </c>
    </row>
    <row r="3" spans="1:7" x14ac:dyDescent="0.3">
      <c r="A3" t="s">
        <v>1</v>
      </c>
      <c r="B3">
        <v>0</v>
      </c>
      <c r="C3">
        <v>12</v>
      </c>
      <c r="D3">
        <v>0</v>
      </c>
      <c r="E3">
        <v>0</v>
      </c>
      <c r="G3">
        <f>SUM(Tabela246212[[#This Row],[Operador 1]:[Operador 4]])</f>
        <v>12</v>
      </c>
    </row>
    <row r="4" spans="1:7" x14ac:dyDescent="0.3">
      <c r="A4" t="s">
        <v>2</v>
      </c>
      <c r="B4">
        <v>0</v>
      </c>
      <c r="C4">
        <v>0</v>
      </c>
      <c r="D4">
        <v>11</v>
      </c>
      <c r="E4">
        <v>0</v>
      </c>
      <c r="G4">
        <f>SUM(Tabela246212[[#This Row],[Operador 1]:[Operador 4]])</f>
        <v>11</v>
      </c>
    </row>
    <row r="5" spans="1:7" x14ac:dyDescent="0.3">
      <c r="A5" t="s">
        <v>59</v>
      </c>
      <c r="B5">
        <v>6</v>
      </c>
      <c r="C5">
        <v>0</v>
      </c>
      <c r="D5">
        <v>0</v>
      </c>
      <c r="E5">
        <v>0</v>
      </c>
      <c r="G5">
        <f>SUM(Tabela246212[[#This Row],[Operador 1]:[Operador 4]])</f>
        <v>6</v>
      </c>
    </row>
    <row r="6" spans="1:7" x14ac:dyDescent="0.3">
      <c r="A6" t="s">
        <v>4</v>
      </c>
      <c r="B6">
        <v>0</v>
      </c>
      <c r="C6">
        <v>0</v>
      </c>
      <c r="D6">
        <v>0</v>
      </c>
      <c r="E6">
        <v>0</v>
      </c>
      <c r="G6">
        <f>SUM(Tabela246212[[#This Row],[Operador 1]:[Operador 4]])</f>
        <v>0</v>
      </c>
    </row>
    <row r="7" spans="1:7" x14ac:dyDescent="0.3">
      <c r="A7" t="s">
        <v>5</v>
      </c>
      <c r="B7">
        <v>0</v>
      </c>
      <c r="C7">
        <v>0</v>
      </c>
      <c r="D7">
        <v>2</v>
      </c>
      <c r="E7">
        <v>0</v>
      </c>
      <c r="G7">
        <f>SUM(Tabela246212[[#This Row],[Operador 1]:[Operador 4]])</f>
        <v>2</v>
      </c>
    </row>
    <row r="8" spans="1:7" x14ac:dyDescent="0.3">
      <c r="A8" t="s">
        <v>14</v>
      </c>
      <c r="B8">
        <v>0</v>
      </c>
      <c r="C8">
        <v>2</v>
      </c>
      <c r="D8">
        <v>0</v>
      </c>
      <c r="E8">
        <v>0</v>
      </c>
      <c r="G8">
        <f>SUM(Tabela246212[[#This Row],[Operador 1]:[Operador 4]])</f>
        <v>2</v>
      </c>
    </row>
    <row r="9" spans="1:7" x14ac:dyDescent="0.3">
      <c r="A9" t="s">
        <v>16</v>
      </c>
      <c r="B9">
        <v>0</v>
      </c>
      <c r="C9">
        <v>6</v>
      </c>
      <c r="D9">
        <v>0</v>
      </c>
      <c r="E9">
        <v>0</v>
      </c>
      <c r="G9">
        <f>SUM(Tabela246212[[#This Row],[Operador 1]:[Operador 4]])</f>
        <v>6</v>
      </c>
    </row>
    <row r="10" spans="1:7" x14ac:dyDescent="0.3">
      <c r="A10" t="s">
        <v>12</v>
      </c>
      <c r="B10">
        <v>0</v>
      </c>
      <c r="C10">
        <v>0</v>
      </c>
      <c r="D10">
        <v>0</v>
      </c>
      <c r="E10">
        <v>4.8600000000000003</v>
      </c>
      <c r="G10">
        <f>SUM(Tabela246212[[#This Row],[Operador 1]:[Operador 4]])</f>
        <v>4.8600000000000003</v>
      </c>
    </row>
    <row r="11" spans="1:7" x14ac:dyDescent="0.3">
      <c r="A11" t="s">
        <v>7</v>
      </c>
      <c r="B11">
        <v>0</v>
      </c>
      <c r="C11">
        <v>0</v>
      </c>
      <c r="D11">
        <v>0</v>
      </c>
      <c r="E11">
        <v>4</v>
      </c>
      <c r="G11">
        <f>SUM(Tabela246212[[#This Row],[Operador 1]:[Operador 4]])</f>
        <v>4</v>
      </c>
    </row>
    <row r="12" spans="1:7" x14ac:dyDescent="0.3">
      <c r="A12" t="s">
        <v>6</v>
      </c>
      <c r="B12">
        <v>0</v>
      </c>
      <c r="C12">
        <v>0</v>
      </c>
      <c r="D12">
        <v>0</v>
      </c>
      <c r="E12">
        <v>0</v>
      </c>
      <c r="G12">
        <f>SUM(Tabela246212[[#This Row],[Operador 1]:[Operador 4]])</f>
        <v>0</v>
      </c>
    </row>
    <row r="13" spans="1:7" x14ac:dyDescent="0.3">
      <c r="A13" t="s">
        <v>8</v>
      </c>
      <c r="B13">
        <v>0</v>
      </c>
      <c r="C13">
        <v>0</v>
      </c>
      <c r="D13">
        <v>0</v>
      </c>
      <c r="E13">
        <v>2</v>
      </c>
      <c r="G13">
        <f>SUM(Tabela246212[[#This Row],[Operador 1]:[Operador 4]])</f>
        <v>2</v>
      </c>
    </row>
    <row r="14" spans="1:7" x14ac:dyDescent="0.3">
      <c r="A14" t="s">
        <v>15</v>
      </c>
      <c r="B14">
        <v>0</v>
      </c>
      <c r="C14">
        <v>0</v>
      </c>
      <c r="D14">
        <v>0</v>
      </c>
      <c r="E14">
        <v>4</v>
      </c>
      <c r="G14">
        <f>SUM(Tabela246212[[#This Row],[Operador 1]:[Operador 4]])</f>
        <v>4</v>
      </c>
    </row>
    <row r="15" spans="1:7" x14ac:dyDescent="0.3">
      <c r="A15" t="s">
        <v>9</v>
      </c>
      <c r="B15">
        <v>0</v>
      </c>
      <c r="C15">
        <v>0</v>
      </c>
      <c r="D15">
        <v>0</v>
      </c>
      <c r="E15">
        <v>5.25</v>
      </c>
      <c r="G15">
        <f>SUM(Tabela246212[[#This Row],[Operador 1]:[Operador 4]])</f>
        <v>5.25</v>
      </c>
    </row>
    <row r="16" spans="1:7" x14ac:dyDescent="0.3">
      <c r="A16" t="s">
        <v>10</v>
      </c>
      <c r="B16">
        <v>0</v>
      </c>
      <c r="C16">
        <v>0</v>
      </c>
      <c r="D16">
        <v>0</v>
      </c>
      <c r="E16">
        <v>2.25</v>
      </c>
      <c r="G16">
        <f>SUM(Tabela246212[[#This Row],[Operador 1]:[Operador 4]])</f>
        <v>2.25</v>
      </c>
    </row>
    <row r="17" spans="1:8" x14ac:dyDescent="0.3">
      <c r="A17" t="s">
        <v>11</v>
      </c>
      <c r="B17">
        <v>0</v>
      </c>
      <c r="C17">
        <v>0</v>
      </c>
      <c r="D17">
        <v>0</v>
      </c>
      <c r="E17">
        <v>1.666666</v>
      </c>
      <c r="G17">
        <f>SUM(Tabela246212[[#This Row],[Operador 1]:[Operador 4]])</f>
        <v>1.666666</v>
      </c>
    </row>
    <row r="18" spans="1:8" x14ac:dyDescent="0.3">
      <c r="A18" t="s">
        <v>17</v>
      </c>
      <c r="B18">
        <v>28</v>
      </c>
      <c r="C18">
        <v>28</v>
      </c>
      <c r="D18">
        <v>28</v>
      </c>
      <c r="E18">
        <v>28</v>
      </c>
    </row>
    <row r="25" spans="1:8" x14ac:dyDescent="0.3">
      <c r="H25">
        <f>SUM(B2:E17)</f>
        <v>69.026666000000006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E57E-CC5C-4B50-82A8-237065A83707}">
  <dimension ref="A1:G18"/>
  <sheetViews>
    <sheetView zoomScale="70" zoomScaleNormal="70" workbookViewId="0">
      <pane xSplit="1" topLeftCell="B1" activePane="topRight" state="frozen"/>
      <selection pane="topRight" activeCell="D30" sqref="D30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6</v>
      </c>
      <c r="C2">
        <v>0</v>
      </c>
      <c r="D2">
        <v>0</v>
      </c>
      <c r="E2">
        <v>0</v>
      </c>
      <c r="G2">
        <f>SUM(Tabela24621011[[#This Row],[Operador 1]:[Operador 4]])</f>
        <v>6</v>
      </c>
    </row>
    <row r="3" spans="1:7" x14ac:dyDescent="0.3">
      <c r="A3" t="s">
        <v>1</v>
      </c>
      <c r="B3">
        <v>0</v>
      </c>
      <c r="C3">
        <v>0</v>
      </c>
      <c r="D3">
        <v>12</v>
      </c>
      <c r="E3">
        <v>0</v>
      </c>
      <c r="G3">
        <f>SUM(Tabela24621011[[#This Row],[Operador 1]:[Operador 4]])</f>
        <v>12</v>
      </c>
    </row>
    <row r="4" spans="1:7" x14ac:dyDescent="0.3">
      <c r="A4" t="s">
        <v>2</v>
      </c>
      <c r="B4">
        <v>0</v>
      </c>
      <c r="C4">
        <v>0</v>
      </c>
      <c r="D4">
        <v>11</v>
      </c>
      <c r="E4">
        <v>0</v>
      </c>
      <c r="G4">
        <f>SUM(Tabela24621011[[#This Row],[Operador 1]:[Operador 4]])</f>
        <v>11</v>
      </c>
    </row>
    <row r="5" spans="1:7" x14ac:dyDescent="0.3">
      <c r="A5" t="s">
        <v>59</v>
      </c>
      <c r="B5">
        <v>4</v>
      </c>
      <c r="C5">
        <v>0</v>
      </c>
      <c r="D5">
        <v>0</v>
      </c>
      <c r="E5">
        <v>0</v>
      </c>
      <c r="G5">
        <f>SUM(Tabela24621011[[#This Row],[Operador 1]:[Operador 4]])</f>
        <v>4</v>
      </c>
    </row>
    <row r="6" spans="1:7" hidden="1" x14ac:dyDescent="0.3">
      <c r="A6" t="s">
        <v>4</v>
      </c>
      <c r="B6">
        <v>0</v>
      </c>
      <c r="C6">
        <v>0</v>
      </c>
      <c r="D6">
        <v>0</v>
      </c>
      <c r="E6">
        <v>0</v>
      </c>
      <c r="G6">
        <f>SUM(Tabela24621011[[#This Row],[Operador 1]:[Operador 4]])</f>
        <v>0</v>
      </c>
    </row>
    <row r="7" spans="1:7" x14ac:dyDescent="0.3">
      <c r="A7" t="s">
        <v>5</v>
      </c>
      <c r="B7">
        <v>0</v>
      </c>
      <c r="C7">
        <v>0</v>
      </c>
      <c r="D7">
        <v>2</v>
      </c>
      <c r="E7">
        <v>0</v>
      </c>
      <c r="G7">
        <f>SUM(Tabela24621011[[#This Row],[Operador 1]:[Operador 4]])</f>
        <v>2</v>
      </c>
    </row>
    <row r="8" spans="1:7" x14ac:dyDescent="0.3">
      <c r="A8" t="s">
        <v>14</v>
      </c>
      <c r="B8">
        <v>0</v>
      </c>
      <c r="C8">
        <v>0</v>
      </c>
      <c r="D8">
        <v>2</v>
      </c>
      <c r="E8">
        <v>0</v>
      </c>
      <c r="G8">
        <f>SUM(Tabela24621011[[#This Row],[Operador 1]:[Operador 4]])</f>
        <v>2</v>
      </c>
    </row>
    <row r="9" spans="1:7" x14ac:dyDescent="0.3">
      <c r="A9" t="s">
        <v>16</v>
      </c>
      <c r="B9">
        <v>6</v>
      </c>
      <c r="C9">
        <v>0</v>
      </c>
      <c r="D9">
        <v>0</v>
      </c>
      <c r="E9">
        <v>0</v>
      </c>
      <c r="G9">
        <f>SUM(Tabela24621011[[#This Row],[Operador 1]:[Operador 4]])</f>
        <v>6</v>
      </c>
    </row>
    <row r="10" spans="1:7" x14ac:dyDescent="0.3">
      <c r="A10" t="s">
        <v>12</v>
      </c>
      <c r="B10">
        <v>4.8600000000000003</v>
      </c>
      <c r="C10">
        <v>0</v>
      </c>
      <c r="D10">
        <v>0</v>
      </c>
      <c r="E10">
        <v>0</v>
      </c>
      <c r="G10">
        <f>SUM(Tabela24621011[[#This Row],[Operador 1]:[Operador 4]])</f>
        <v>4.8600000000000003</v>
      </c>
    </row>
    <row r="11" spans="1:7" x14ac:dyDescent="0.3">
      <c r="A11" t="s">
        <v>7</v>
      </c>
      <c r="B11">
        <v>0</v>
      </c>
      <c r="C11">
        <v>4</v>
      </c>
      <c r="D11">
        <v>0</v>
      </c>
      <c r="E11">
        <v>0</v>
      </c>
      <c r="G11">
        <f>SUM(Tabela24621011[[#This Row],[Operador 1]:[Operador 4]])</f>
        <v>4</v>
      </c>
    </row>
    <row r="12" spans="1:7" x14ac:dyDescent="0.3">
      <c r="A12" t="s">
        <v>6</v>
      </c>
      <c r="B12">
        <v>0</v>
      </c>
      <c r="C12">
        <v>4.5</v>
      </c>
      <c r="D12">
        <v>0</v>
      </c>
      <c r="E12">
        <v>0</v>
      </c>
      <c r="G12">
        <f>SUM(Tabela24621011[[#This Row],[Operador 1]:[Operador 4]])</f>
        <v>4.5</v>
      </c>
    </row>
    <row r="13" spans="1:7" x14ac:dyDescent="0.3">
      <c r="A13" t="s">
        <v>8</v>
      </c>
      <c r="B13">
        <v>0</v>
      </c>
      <c r="C13">
        <v>2</v>
      </c>
      <c r="D13">
        <v>0</v>
      </c>
      <c r="E13">
        <v>0</v>
      </c>
      <c r="G13">
        <f>SUM(Tabela24621011[[#This Row],[Operador 1]:[Operador 4]])</f>
        <v>2</v>
      </c>
    </row>
    <row r="14" spans="1:7" x14ac:dyDescent="0.3">
      <c r="A14" t="s">
        <v>15</v>
      </c>
      <c r="B14">
        <v>0</v>
      </c>
      <c r="C14">
        <v>4</v>
      </c>
      <c r="D14">
        <v>0</v>
      </c>
      <c r="E14">
        <v>0</v>
      </c>
      <c r="G14">
        <f>SUM(Tabela24621011[[#This Row],[Operador 1]:[Operador 4]])</f>
        <v>4</v>
      </c>
    </row>
    <row r="15" spans="1:7" x14ac:dyDescent="0.3">
      <c r="A15" t="s">
        <v>9</v>
      </c>
      <c r="B15">
        <v>0</v>
      </c>
      <c r="C15">
        <v>5.25</v>
      </c>
      <c r="D15">
        <v>0</v>
      </c>
      <c r="E15">
        <v>0</v>
      </c>
      <c r="G15">
        <f>SUM(Tabela24621011[[#This Row],[Operador 1]:[Operador 4]])</f>
        <v>5.25</v>
      </c>
    </row>
    <row r="16" spans="1:7" x14ac:dyDescent="0.3">
      <c r="A16" t="s">
        <v>10</v>
      </c>
      <c r="B16">
        <v>0</v>
      </c>
      <c r="C16">
        <v>2.25</v>
      </c>
      <c r="D16">
        <v>0</v>
      </c>
      <c r="E16">
        <v>0</v>
      </c>
      <c r="G16">
        <f>SUM(Tabela24621011[[#This Row],[Operador 1]:[Operador 4]])</f>
        <v>2.25</v>
      </c>
    </row>
    <row r="17" spans="1:7" x14ac:dyDescent="0.3">
      <c r="A17" t="s">
        <v>11</v>
      </c>
      <c r="B17">
        <v>0</v>
      </c>
      <c r="C17">
        <v>1.6666666000000001</v>
      </c>
      <c r="D17">
        <v>0</v>
      </c>
      <c r="E17">
        <v>0</v>
      </c>
      <c r="G17">
        <f>SUM(Tabela24621011[[#This Row],[Operador 1]:[Operador 4]])</f>
        <v>1.6666666000000001</v>
      </c>
    </row>
    <row r="18" spans="1:7" x14ac:dyDescent="0.3">
      <c r="A18" t="s">
        <v>17</v>
      </c>
      <c r="B18">
        <v>28</v>
      </c>
      <c r="C18">
        <v>28</v>
      </c>
      <c r="D18">
        <v>28</v>
      </c>
      <c r="E18">
        <v>28</v>
      </c>
    </row>
  </sheetData>
  <conditionalFormatting sqref="B2:E17">
    <cfRule type="cellIs" dxfId="1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A41A-71C6-48EB-BE92-4A34D5E1C1A9}">
  <dimension ref="A1:G18"/>
  <sheetViews>
    <sheetView zoomScale="70" zoomScaleNormal="70" workbookViewId="0">
      <pane xSplit="1" topLeftCell="B1" activePane="topRight" state="frozen"/>
      <selection pane="topRight" activeCell="C10" sqref="C10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6</v>
      </c>
      <c r="C2">
        <v>0</v>
      </c>
      <c r="D2">
        <v>0</v>
      </c>
      <c r="E2">
        <v>0</v>
      </c>
      <c r="G2">
        <f>SUM(Tabela246210[[#This Row],[Operador 1]:[Operador 4]])</f>
        <v>6</v>
      </c>
    </row>
    <row r="3" spans="1:7" x14ac:dyDescent="0.3">
      <c r="A3" t="s">
        <v>1</v>
      </c>
      <c r="B3">
        <v>0</v>
      </c>
      <c r="C3">
        <v>12</v>
      </c>
      <c r="D3">
        <v>0</v>
      </c>
      <c r="E3">
        <v>0</v>
      </c>
      <c r="G3">
        <f>SUM(Tabela246210[[#This Row],[Operador 1]:[Operador 4]])</f>
        <v>12</v>
      </c>
    </row>
    <row r="4" spans="1:7" x14ac:dyDescent="0.3">
      <c r="A4" t="s">
        <v>2</v>
      </c>
      <c r="B4">
        <v>0</v>
      </c>
      <c r="C4">
        <v>0</v>
      </c>
      <c r="D4">
        <v>11</v>
      </c>
      <c r="E4">
        <v>0</v>
      </c>
      <c r="G4">
        <f>SUM(Tabela246210[[#This Row],[Operador 1]:[Operador 4]])</f>
        <v>11</v>
      </c>
    </row>
    <row r="5" spans="1:7" x14ac:dyDescent="0.3">
      <c r="A5" t="s">
        <v>59</v>
      </c>
      <c r="B5">
        <v>0</v>
      </c>
      <c r="C5">
        <v>0</v>
      </c>
      <c r="D5">
        <v>4</v>
      </c>
      <c r="E5">
        <v>0</v>
      </c>
      <c r="G5">
        <f>SUM(Tabela246210[[#This Row],[Operador 1]:[Operador 4]])</f>
        <v>4</v>
      </c>
    </row>
    <row r="6" spans="1:7" hidden="1" x14ac:dyDescent="0.3">
      <c r="A6" t="s">
        <v>4</v>
      </c>
      <c r="B6">
        <v>0</v>
      </c>
      <c r="C6">
        <v>0</v>
      </c>
      <c r="D6">
        <v>0</v>
      </c>
      <c r="E6">
        <v>0</v>
      </c>
      <c r="G6">
        <f>SUM(Tabela246210[[#This Row],[Operador 1]:[Operador 4]])</f>
        <v>0</v>
      </c>
    </row>
    <row r="7" spans="1:7" x14ac:dyDescent="0.3">
      <c r="A7" t="s">
        <v>5</v>
      </c>
      <c r="B7">
        <v>0</v>
      </c>
      <c r="C7">
        <v>0</v>
      </c>
      <c r="D7">
        <v>2</v>
      </c>
      <c r="E7">
        <v>0</v>
      </c>
      <c r="G7">
        <f>SUM(Tabela246210[[#This Row],[Operador 1]:[Operador 4]])</f>
        <v>2</v>
      </c>
    </row>
    <row r="8" spans="1:7" x14ac:dyDescent="0.3">
      <c r="A8" t="s">
        <v>14</v>
      </c>
      <c r="B8">
        <v>0</v>
      </c>
      <c r="C8">
        <v>0</v>
      </c>
      <c r="D8">
        <v>2</v>
      </c>
      <c r="E8">
        <v>0</v>
      </c>
      <c r="G8">
        <f>SUM(Tabela246210[[#This Row],[Operador 1]:[Operador 4]])</f>
        <v>2</v>
      </c>
    </row>
    <row r="9" spans="1:7" x14ac:dyDescent="0.3">
      <c r="A9" t="s">
        <v>16</v>
      </c>
      <c r="B9">
        <v>0</v>
      </c>
      <c r="C9">
        <v>6</v>
      </c>
      <c r="D9">
        <v>0</v>
      </c>
      <c r="E9">
        <v>0</v>
      </c>
      <c r="G9">
        <f>SUM(Tabela246210[[#This Row],[Operador 1]:[Operador 4]])</f>
        <v>6</v>
      </c>
    </row>
    <row r="10" spans="1:7" x14ac:dyDescent="0.3">
      <c r="A10" t="s">
        <v>12</v>
      </c>
      <c r="B10">
        <v>0</v>
      </c>
      <c r="C10">
        <v>0</v>
      </c>
      <c r="D10">
        <v>4.8600000000000003</v>
      </c>
      <c r="E10">
        <v>0</v>
      </c>
      <c r="G10">
        <f>SUM(Tabela246210[[#This Row],[Operador 1]:[Operador 4]])</f>
        <v>4.8600000000000003</v>
      </c>
    </row>
    <row r="11" spans="1:7" x14ac:dyDescent="0.3">
      <c r="A11" t="s">
        <v>7</v>
      </c>
      <c r="B11">
        <v>0</v>
      </c>
      <c r="C11">
        <v>4</v>
      </c>
      <c r="D11">
        <v>0</v>
      </c>
      <c r="E11">
        <v>0</v>
      </c>
      <c r="G11">
        <f>SUM(Tabela246210[[#This Row],[Operador 1]:[Operador 4]])</f>
        <v>4</v>
      </c>
    </row>
    <row r="12" spans="1:7" x14ac:dyDescent="0.3">
      <c r="A12" t="s">
        <v>6</v>
      </c>
      <c r="B12">
        <v>0</v>
      </c>
      <c r="C12">
        <v>4.5</v>
      </c>
      <c r="D12">
        <v>0</v>
      </c>
      <c r="E12">
        <v>0</v>
      </c>
      <c r="G12">
        <f>SUM(Tabela246210[[#This Row],[Operador 1]:[Operador 4]])</f>
        <v>4.5</v>
      </c>
    </row>
    <row r="13" spans="1:7" x14ac:dyDescent="0.3">
      <c r="A13" t="s">
        <v>8</v>
      </c>
      <c r="B13">
        <v>2</v>
      </c>
      <c r="C13">
        <v>0</v>
      </c>
      <c r="D13">
        <v>0</v>
      </c>
      <c r="E13">
        <v>0</v>
      </c>
      <c r="G13">
        <f>SUM(Tabela246210[[#This Row],[Operador 1]:[Operador 4]])</f>
        <v>2</v>
      </c>
    </row>
    <row r="14" spans="1:7" x14ac:dyDescent="0.3">
      <c r="A14" t="s">
        <v>15</v>
      </c>
      <c r="B14">
        <v>4</v>
      </c>
      <c r="C14">
        <v>0</v>
      </c>
      <c r="D14">
        <v>0</v>
      </c>
      <c r="E14">
        <v>0</v>
      </c>
      <c r="G14">
        <f>SUM(Tabela246210[[#This Row],[Operador 1]:[Operador 4]])</f>
        <v>4</v>
      </c>
    </row>
    <row r="15" spans="1:7" x14ac:dyDescent="0.3">
      <c r="A15" t="s">
        <v>9</v>
      </c>
      <c r="B15">
        <v>5.25</v>
      </c>
      <c r="C15">
        <v>0</v>
      </c>
      <c r="D15">
        <v>0</v>
      </c>
      <c r="E15">
        <v>0</v>
      </c>
      <c r="G15">
        <f>SUM(Tabela246210[[#This Row],[Operador 1]:[Operador 4]])</f>
        <v>5.25</v>
      </c>
    </row>
    <row r="16" spans="1:7" x14ac:dyDescent="0.3">
      <c r="A16" t="s">
        <v>10</v>
      </c>
      <c r="B16">
        <v>2.25</v>
      </c>
      <c r="C16">
        <v>0</v>
      </c>
      <c r="D16">
        <v>0</v>
      </c>
      <c r="E16">
        <v>0</v>
      </c>
      <c r="G16">
        <f>SUM(Tabela246210[[#This Row],[Operador 1]:[Operador 4]])</f>
        <v>2.25</v>
      </c>
    </row>
    <row r="17" spans="1:7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G17">
        <f>SUM(Tabela246210[[#This Row],[Operador 1]:[Operador 4]])</f>
        <v>1.6666666000000001</v>
      </c>
    </row>
    <row r="18" spans="1:7" x14ac:dyDescent="0.3">
      <c r="A18" t="s">
        <v>17</v>
      </c>
      <c r="B18">
        <v>28</v>
      </c>
      <c r="C18">
        <v>28</v>
      </c>
      <c r="D18">
        <v>28</v>
      </c>
      <c r="E18">
        <v>28</v>
      </c>
    </row>
  </sheetData>
  <conditionalFormatting sqref="B2:E17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C310-BBB8-4475-9554-E2ED8C826956}">
  <dimension ref="A1:G17"/>
  <sheetViews>
    <sheetView zoomScale="70" zoomScaleNormal="70" workbookViewId="0">
      <pane xSplit="1" topLeftCell="B1" activePane="topRight" state="frozen"/>
      <selection pane="topRight" activeCell="E25" sqref="E25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7</v>
      </c>
      <c r="C2">
        <v>0</v>
      </c>
      <c r="D2">
        <v>0</v>
      </c>
      <c r="E2">
        <v>0</v>
      </c>
      <c r="G2">
        <f>SUM(Tabela2462789[[#This Row],[Operador 1]:[Operador 4]])</f>
        <v>7</v>
      </c>
    </row>
    <row r="3" spans="1:7" x14ac:dyDescent="0.3">
      <c r="A3" t="s">
        <v>1</v>
      </c>
      <c r="B3">
        <v>0</v>
      </c>
      <c r="C3">
        <v>0</v>
      </c>
      <c r="D3">
        <v>10</v>
      </c>
      <c r="E3">
        <v>0</v>
      </c>
      <c r="G3">
        <f>SUM(Tabela2462789[[#This Row],[Operador 1]:[Operador 4]])</f>
        <v>10</v>
      </c>
    </row>
    <row r="4" spans="1:7" x14ac:dyDescent="0.3">
      <c r="A4" t="s">
        <v>2</v>
      </c>
      <c r="B4">
        <v>0</v>
      </c>
      <c r="C4">
        <v>0</v>
      </c>
      <c r="D4">
        <v>14</v>
      </c>
      <c r="E4">
        <v>0</v>
      </c>
      <c r="G4">
        <f>SUM(Tabela2462789[[#This Row],[Operador 1]:[Operador 4]])</f>
        <v>14</v>
      </c>
    </row>
    <row r="5" spans="1:7" x14ac:dyDescent="0.3">
      <c r="A5" t="s">
        <v>59</v>
      </c>
      <c r="B5">
        <v>0</v>
      </c>
      <c r="C5">
        <v>4</v>
      </c>
      <c r="D5">
        <v>0</v>
      </c>
      <c r="E5">
        <v>0</v>
      </c>
      <c r="G5">
        <f>SUM(Tabela2462789[[#This Row],[Operador 1]:[Operador 4]])</f>
        <v>4</v>
      </c>
    </row>
    <row r="6" spans="1:7" x14ac:dyDescent="0.3">
      <c r="A6" t="s">
        <v>5</v>
      </c>
      <c r="B6">
        <v>0</v>
      </c>
      <c r="C6">
        <v>0</v>
      </c>
      <c r="D6">
        <v>2</v>
      </c>
      <c r="E6">
        <v>0</v>
      </c>
      <c r="G6">
        <f>SUM(Tabela2462789[[#This Row],[Operador 1]:[Operador 4]])</f>
        <v>2</v>
      </c>
    </row>
    <row r="7" spans="1:7" x14ac:dyDescent="0.3">
      <c r="A7" t="s">
        <v>14</v>
      </c>
      <c r="B7">
        <v>0</v>
      </c>
      <c r="C7">
        <v>2</v>
      </c>
      <c r="D7">
        <v>0</v>
      </c>
      <c r="E7">
        <v>0</v>
      </c>
      <c r="G7">
        <f>SUM(Tabela2462789[[#This Row],[Operador 1]:[Operador 4]])</f>
        <v>2</v>
      </c>
    </row>
    <row r="8" spans="1:7" x14ac:dyDescent="0.3">
      <c r="A8" t="s">
        <v>16</v>
      </c>
      <c r="B8">
        <v>0</v>
      </c>
      <c r="C8">
        <v>5</v>
      </c>
      <c r="D8">
        <v>0</v>
      </c>
      <c r="E8">
        <v>0</v>
      </c>
      <c r="G8">
        <f>SUM(Tabela2462789[[#This Row],[Operador 1]:[Operador 4]])</f>
        <v>5</v>
      </c>
    </row>
    <row r="9" spans="1:7" x14ac:dyDescent="0.3">
      <c r="A9" t="s">
        <v>12</v>
      </c>
      <c r="B9">
        <v>0</v>
      </c>
      <c r="C9">
        <v>4.8600000000000003</v>
      </c>
      <c r="D9">
        <v>0</v>
      </c>
      <c r="E9">
        <v>0</v>
      </c>
      <c r="G9">
        <f>SUM(Tabela2462789[[#This Row],[Operador 1]:[Operador 4]])</f>
        <v>4.8600000000000003</v>
      </c>
    </row>
    <row r="10" spans="1:7" x14ac:dyDescent="0.3">
      <c r="A10" t="s">
        <v>7</v>
      </c>
      <c r="B10">
        <v>0</v>
      </c>
      <c r="C10">
        <v>4</v>
      </c>
      <c r="D10">
        <v>0</v>
      </c>
      <c r="E10">
        <v>0</v>
      </c>
      <c r="G10">
        <f>SUM(Tabela2462789[[#This Row],[Operador 1]:[Operador 4]])</f>
        <v>4</v>
      </c>
    </row>
    <row r="11" spans="1:7" x14ac:dyDescent="0.3">
      <c r="A11" t="s">
        <v>6</v>
      </c>
      <c r="B11">
        <v>4.5</v>
      </c>
      <c r="C11">
        <v>0</v>
      </c>
      <c r="D11">
        <v>0</v>
      </c>
      <c r="E11">
        <v>0</v>
      </c>
      <c r="G11">
        <f>SUM(Tabela2462789[[#This Row],[Operador 1]:[Operador 4]])</f>
        <v>4.5</v>
      </c>
    </row>
    <row r="12" spans="1:7" x14ac:dyDescent="0.3">
      <c r="A12" t="s">
        <v>8</v>
      </c>
      <c r="B12">
        <v>2</v>
      </c>
      <c r="C12">
        <v>0</v>
      </c>
      <c r="D12">
        <v>0</v>
      </c>
      <c r="E12">
        <v>0</v>
      </c>
      <c r="G12">
        <f>SUM(Tabela2462789[[#This Row],[Operador 1]:[Operador 4]])</f>
        <v>2</v>
      </c>
    </row>
    <row r="13" spans="1:7" x14ac:dyDescent="0.3">
      <c r="A13" t="s">
        <v>15</v>
      </c>
      <c r="B13">
        <v>4</v>
      </c>
      <c r="C13">
        <v>0</v>
      </c>
      <c r="D13">
        <v>0</v>
      </c>
      <c r="E13">
        <v>0</v>
      </c>
      <c r="G13">
        <f>SUM(Tabela2462789[[#This Row],[Operador 1]:[Operador 4]])</f>
        <v>4</v>
      </c>
    </row>
    <row r="14" spans="1:7" x14ac:dyDescent="0.3">
      <c r="A14" t="s">
        <v>9</v>
      </c>
      <c r="B14">
        <v>5.25</v>
      </c>
      <c r="C14">
        <v>0</v>
      </c>
      <c r="D14">
        <v>0</v>
      </c>
      <c r="E14">
        <v>0</v>
      </c>
      <c r="G14">
        <f>SUM(Tabela2462789[[#This Row],[Operador 1]:[Operador 4]])</f>
        <v>5.25</v>
      </c>
    </row>
    <row r="15" spans="1:7" x14ac:dyDescent="0.3">
      <c r="A15" t="s">
        <v>10</v>
      </c>
      <c r="B15">
        <v>2.25</v>
      </c>
      <c r="C15">
        <v>0</v>
      </c>
      <c r="D15">
        <v>0</v>
      </c>
      <c r="E15">
        <v>0</v>
      </c>
      <c r="G15">
        <f>SUM(Tabela2462789[[#This Row],[Operador 1]:[Operador 4]])</f>
        <v>2.25</v>
      </c>
    </row>
    <row r="16" spans="1:7" x14ac:dyDescent="0.3">
      <c r="A16" t="s">
        <v>11</v>
      </c>
      <c r="B16">
        <v>1.6666666000000001</v>
      </c>
      <c r="C16">
        <v>0</v>
      </c>
      <c r="D16">
        <v>0</v>
      </c>
      <c r="E16">
        <v>0</v>
      </c>
      <c r="G16">
        <f>SUM(Tabela2462789[[#This Row],[Operador 1]:[Operador 4]])</f>
        <v>1.6666666000000001</v>
      </c>
    </row>
    <row r="17" spans="1:5" x14ac:dyDescent="0.3">
      <c r="A17" t="s">
        <v>17</v>
      </c>
      <c r="B17">
        <v>28</v>
      </c>
      <c r="C17">
        <v>28</v>
      </c>
      <c r="D17">
        <v>28</v>
      </c>
      <c r="E17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F374-9BB2-4F16-A6BC-3BE44CC941BB}">
  <dimension ref="A1:G17"/>
  <sheetViews>
    <sheetView zoomScale="70" zoomScaleNormal="70" workbookViewId="0">
      <pane xSplit="1" topLeftCell="B1" activePane="topRight" state="frozen"/>
      <selection pane="topRight" activeCell="E14" sqref="E14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7</v>
      </c>
      <c r="C2">
        <v>0</v>
      </c>
      <c r="D2">
        <v>0</v>
      </c>
      <c r="E2">
        <v>0</v>
      </c>
      <c r="G2">
        <f>SUM(Tabela246278[[#This Row],[Operador 1]:[Operador 4]])</f>
        <v>7</v>
      </c>
    </row>
    <row r="3" spans="1:7" x14ac:dyDescent="0.3">
      <c r="A3" t="s">
        <v>1</v>
      </c>
      <c r="B3">
        <v>0</v>
      </c>
      <c r="C3">
        <v>10</v>
      </c>
      <c r="D3">
        <v>0</v>
      </c>
      <c r="E3">
        <v>0</v>
      </c>
      <c r="G3">
        <f>SUM(Tabela246278[[#This Row],[Operador 1]:[Operador 4]])</f>
        <v>10</v>
      </c>
    </row>
    <row r="4" spans="1:7" x14ac:dyDescent="0.3">
      <c r="A4" t="s">
        <v>2</v>
      </c>
      <c r="B4">
        <v>0</v>
      </c>
      <c r="C4">
        <v>0</v>
      </c>
      <c r="D4">
        <v>14</v>
      </c>
      <c r="E4">
        <v>0</v>
      </c>
      <c r="G4">
        <f>SUM(Tabela246278[[#This Row],[Operador 1]:[Operador 4]])</f>
        <v>14</v>
      </c>
    </row>
    <row r="5" spans="1:7" x14ac:dyDescent="0.3">
      <c r="A5" t="s">
        <v>59</v>
      </c>
      <c r="B5">
        <v>0</v>
      </c>
      <c r="C5">
        <v>0</v>
      </c>
      <c r="D5">
        <v>4</v>
      </c>
      <c r="E5">
        <v>0</v>
      </c>
      <c r="G5">
        <f>SUM(Tabela246278[[#This Row],[Operador 1]:[Operador 4]])</f>
        <v>4</v>
      </c>
    </row>
    <row r="6" spans="1:7" x14ac:dyDescent="0.3">
      <c r="A6" t="s">
        <v>5</v>
      </c>
      <c r="B6">
        <v>0</v>
      </c>
      <c r="C6">
        <v>0</v>
      </c>
      <c r="D6">
        <v>2</v>
      </c>
      <c r="E6">
        <v>0</v>
      </c>
      <c r="G6">
        <f>SUM(Tabela246278[[#This Row],[Operador 1]:[Operador 4]])</f>
        <v>2</v>
      </c>
    </row>
    <row r="7" spans="1:7" x14ac:dyDescent="0.3">
      <c r="A7" t="s">
        <v>14</v>
      </c>
      <c r="B7">
        <v>0</v>
      </c>
      <c r="C7">
        <v>0</v>
      </c>
      <c r="D7">
        <v>2</v>
      </c>
      <c r="E7">
        <v>0</v>
      </c>
      <c r="G7">
        <f>SUM(Tabela246278[[#This Row],[Operador 1]:[Operador 4]])</f>
        <v>2</v>
      </c>
    </row>
    <row r="8" spans="1:7" x14ac:dyDescent="0.3">
      <c r="A8" t="s">
        <v>16</v>
      </c>
      <c r="B8">
        <v>0</v>
      </c>
      <c r="C8">
        <v>5</v>
      </c>
      <c r="D8">
        <v>0</v>
      </c>
      <c r="E8">
        <v>0</v>
      </c>
      <c r="G8">
        <f>SUM(Tabela246278[[#This Row],[Operador 1]:[Operador 4]])</f>
        <v>5</v>
      </c>
    </row>
    <row r="9" spans="1:7" x14ac:dyDescent="0.3">
      <c r="A9" t="s">
        <v>12</v>
      </c>
      <c r="B9">
        <v>0</v>
      </c>
      <c r="C9">
        <v>4.8600000000000003</v>
      </c>
      <c r="D9">
        <v>0</v>
      </c>
      <c r="E9">
        <v>0</v>
      </c>
      <c r="G9">
        <f>SUM(Tabela246278[[#This Row],[Operador 1]:[Operador 4]])</f>
        <v>4.8600000000000003</v>
      </c>
    </row>
    <row r="10" spans="1:7" x14ac:dyDescent="0.3">
      <c r="A10" t="s">
        <v>7</v>
      </c>
      <c r="B10">
        <v>0</v>
      </c>
      <c r="C10">
        <v>4</v>
      </c>
      <c r="D10">
        <v>0</v>
      </c>
      <c r="E10">
        <v>0</v>
      </c>
      <c r="G10">
        <f>SUM(Tabela246278[[#This Row],[Operador 1]:[Operador 4]])</f>
        <v>4</v>
      </c>
    </row>
    <row r="11" spans="1:7" x14ac:dyDescent="0.3">
      <c r="A11" t="s">
        <v>6</v>
      </c>
      <c r="B11">
        <v>4.5</v>
      </c>
      <c r="C11">
        <v>0</v>
      </c>
      <c r="D11">
        <v>0</v>
      </c>
      <c r="E11">
        <v>0</v>
      </c>
      <c r="G11">
        <f>SUM(Tabela246278[[#This Row],[Operador 1]:[Operador 4]])</f>
        <v>4.5</v>
      </c>
    </row>
    <row r="12" spans="1:7" x14ac:dyDescent="0.3">
      <c r="A12" t="s">
        <v>8</v>
      </c>
      <c r="B12">
        <v>2</v>
      </c>
      <c r="C12">
        <v>0</v>
      </c>
      <c r="D12">
        <v>0</v>
      </c>
      <c r="E12">
        <v>0</v>
      </c>
      <c r="G12">
        <f>SUM(Tabela246278[[#This Row],[Operador 1]:[Operador 4]])</f>
        <v>2</v>
      </c>
    </row>
    <row r="13" spans="1:7" x14ac:dyDescent="0.3">
      <c r="A13" t="s">
        <v>15</v>
      </c>
      <c r="B13">
        <v>4</v>
      </c>
      <c r="C13">
        <v>0</v>
      </c>
      <c r="D13">
        <v>0</v>
      </c>
      <c r="E13">
        <v>0</v>
      </c>
      <c r="G13">
        <f>SUM(Tabela246278[[#This Row],[Operador 1]:[Operador 4]])</f>
        <v>4</v>
      </c>
    </row>
    <row r="14" spans="1:7" x14ac:dyDescent="0.3">
      <c r="A14" t="s">
        <v>9</v>
      </c>
      <c r="B14">
        <v>5.25</v>
      </c>
      <c r="C14">
        <v>0</v>
      </c>
      <c r="D14">
        <v>0</v>
      </c>
      <c r="E14">
        <v>0</v>
      </c>
      <c r="G14">
        <f>SUM(Tabela246278[[#This Row],[Operador 1]:[Operador 4]])</f>
        <v>5.25</v>
      </c>
    </row>
    <row r="15" spans="1:7" x14ac:dyDescent="0.3">
      <c r="A15" t="s">
        <v>10</v>
      </c>
      <c r="B15">
        <v>2.25</v>
      </c>
      <c r="C15">
        <v>0</v>
      </c>
      <c r="D15">
        <v>0</v>
      </c>
      <c r="E15">
        <v>0</v>
      </c>
      <c r="G15">
        <f>SUM(Tabela246278[[#This Row],[Operador 1]:[Operador 4]])</f>
        <v>2.25</v>
      </c>
    </row>
    <row r="16" spans="1:7" x14ac:dyDescent="0.3">
      <c r="A16" t="s">
        <v>11</v>
      </c>
      <c r="B16">
        <v>1.6666666000000001</v>
      </c>
      <c r="C16">
        <v>0</v>
      </c>
      <c r="D16">
        <v>0</v>
      </c>
      <c r="E16">
        <v>0</v>
      </c>
      <c r="G16">
        <f>SUM(Tabela246278[[#This Row],[Operador 1]:[Operador 4]])</f>
        <v>1.6666666000000001</v>
      </c>
    </row>
    <row r="17" spans="1:5" x14ac:dyDescent="0.3">
      <c r="A17" t="s">
        <v>17</v>
      </c>
      <c r="B17">
        <v>28</v>
      </c>
      <c r="C17">
        <v>28</v>
      </c>
      <c r="D17">
        <v>28</v>
      </c>
      <c r="E17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3DD9-3075-4368-BF68-087E1A08D26B}">
  <dimension ref="A1:G17"/>
  <sheetViews>
    <sheetView zoomScale="70" zoomScaleNormal="70" workbookViewId="0">
      <pane xSplit="1" topLeftCell="B1" activePane="topRight" state="frozen"/>
      <selection pane="topRight" activeCell="C9" sqref="C9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7</v>
      </c>
      <c r="C2">
        <v>0</v>
      </c>
      <c r="D2">
        <v>0</v>
      </c>
      <c r="E2">
        <v>0</v>
      </c>
      <c r="G2">
        <f>SUM(Tabela24627[[#This Row],[Operador 1]:[Operador 4]])</f>
        <v>7</v>
      </c>
    </row>
    <row r="3" spans="1:7" x14ac:dyDescent="0.3">
      <c r="A3" t="s">
        <v>1</v>
      </c>
      <c r="B3">
        <v>0</v>
      </c>
      <c r="C3">
        <v>10</v>
      </c>
      <c r="D3">
        <v>0</v>
      </c>
      <c r="E3">
        <v>0</v>
      </c>
      <c r="G3">
        <f>SUM(Tabela24627[[#This Row],[Operador 1]:[Operador 4]])</f>
        <v>10</v>
      </c>
    </row>
    <row r="4" spans="1:7" x14ac:dyDescent="0.3">
      <c r="A4" t="s">
        <v>2</v>
      </c>
      <c r="B4">
        <v>0</v>
      </c>
      <c r="C4">
        <v>0</v>
      </c>
      <c r="D4">
        <v>14</v>
      </c>
      <c r="E4">
        <v>0</v>
      </c>
      <c r="G4">
        <f>SUM(Tabela24627[[#This Row],[Operador 1]:[Operador 4]])</f>
        <v>14</v>
      </c>
    </row>
    <row r="5" spans="1:7" x14ac:dyDescent="0.3">
      <c r="A5" t="s">
        <v>59</v>
      </c>
      <c r="B5">
        <v>0</v>
      </c>
      <c r="C5">
        <v>4</v>
      </c>
      <c r="D5">
        <v>0</v>
      </c>
      <c r="E5">
        <v>0</v>
      </c>
      <c r="G5">
        <f>SUM(Tabela24627[[#This Row],[Operador 1]:[Operador 4]])</f>
        <v>4</v>
      </c>
    </row>
    <row r="6" spans="1:7" x14ac:dyDescent="0.3">
      <c r="A6" t="s">
        <v>5</v>
      </c>
      <c r="B6">
        <v>0</v>
      </c>
      <c r="C6">
        <v>0</v>
      </c>
      <c r="D6">
        <v>2</v>
      </c>
      <c r="E6">
        <v>0</v>
      </c>
      <c r="G6">
        <f>SUM(Tabela24627[[#This Row],[Operador 1]:[Operador 4]])</f>
        <v>2</v>
      </c>
    </row>
    <row r="7" spans="1:7" x14ac:dyDescent="0.3">
      <c r="A7" t="s">
        <v>14</v>
      </c>
      <c r="B7">
        <v>0</v>
      </c>
      <c r="C7">
        <v>0</v>
      </c>
      <c r="D7">
        <v>2</v>
      </c>
      <c r="E7">
        <v>0</v>
      </c>
      <c r="G7">
        <f>SUM(Tabela24627[[#This Row],[Operador 1]:[Operador 4]])</f>
        <v>2</v>
      </c>
    </row>
    <row r="8" spans="1:7" x14ac:dyDescent="0.3">
      <c r="A8" t="s">
        <v>16</v>
      </c>
      <c r="B8">
        <v>0</v>
      </c>
      <c r="C8">
        <v>5</v>
      </c>
      <c r="D8">
        <v>0</v>
      </c>
      <c r="E8">
        <v>0</v>
      </c>
      <c r="G8">
        <f>SUM(Tabela24627[[#This Row],[Operador 1]:[Operador 4]])</f>
        <v>5</v>
      </c>
    </row>
    <row r="9" spans="1:7" x14ac:dyDescent="0.3">
      <c r="A9" t="s">
        <v>12</v>
      </c>
      <c r="B9">
        <v>0</v>
      </c>
      <c r="C9">
        <v>4.8600000000000003</v>
      </c>
      <c r="D9">
        <v>0</v>
      </c>
      <c r="E9">
        <v>0</v>
      </c>
      <c r="G9">
        <f>SUM(Tabela24627[[#This Row],[Operador 1]:[Operador 4]])</f>
        <v>4.8600000000000003</v>
      </c>
    </row>
    <row r="10" spans="1:7" x14ac:dyDescent="0.3">
      <c r="A10" t="s">
        <v>7</v>
      </c>
      <c r="B10">
        <v>0</v>
      </c>
      <c r="C10">
        <v>4</v>
      </c>
      <c r="D10">
        <v>0</v>
      </c>
      <c r="E10">
        <v>0</v>
      </c>
      <c r="G10">
        <f>SUM(Tabela24627[[#This Row],[Operador 1]:[Operador 4]])</f>
        <v>4</v>
      </c>
    </row>
    <row r="11" spans="1:7" x14ac:dyDescent="0.3">
      <c r="A11" t="s">
        <v>6</v>
      </c>
      <c r="B11">
        <v>4.5</v>
      </c>
      <c r="C11">
        <v>0</v>
      </c>
      <c r="D11">
        <v>0</v>
      </c>
      <c r="E11">
        <v>0</v>
      </c>
      <c r="G11">
        <f>SUM(Tabela24627[[#This Row],[Operador 1]:[Operador 4]])</f>
        <v>4.5</v>
      </c>
    </row>
    <row r="12" spans="1:7" x14ac:dyDescent="0.3">
      <c r="A12" t="s">
        <v>8</v>
      </c>
      <c r="B12">
        <v>2</v>
      </c>
      <c r="C12">
        <v>0</v>
      </c>
      <c r="D12">
        <v>0</v>
      </c>
      <c r="E12">
        <v>0</v>
      </c>
      <c r="G12">
        <f>SUM(Tabela24627[[#This Row],[Operador 1]:[Operador 4]])</f>
        <v>2</v>
      </c>
    </row>
    <row r="13" spans="1:7" x14ac:dyDescent="0.3">
      <c r="A13" t="s">
        <v>15</v>
      </c>
      <c r="B13">
        <v>4</v>
      </c>
      <c r="C13">
        <v>0</v>
      </c>
      <c r="D13">
        <v>0</v>
      </c>
      <c r="E13">
        <v>0</v>
      </c>
      <c r="G13">
        <f>SUM(Tabela24627[[#This Row],[Operador 1]:[Operador 4]])</f>
        <v>4</v>
      </c>
    </row>
    <row r="14" spans="1:7" x14ac:dyDescent="0.3">
      <c r="A14" t="s">
        <v>9</v>
      </c>
      <c r="B14">
        <v>5.25</v>
      </c>
      <c r="C14">
        <v>0</v>
      </c>
      <c r="D14">
        <v>0</v>
      </c>
      <c r="E14">
        <v>0</v>
      </c>
      <c r="G14">
        <f>SUM(Tabela24627[[#This Row],[Operador 1]:[Operador 4]])</f>
        <v>5.25</v>
      </c>
    </row>
    <row r="15" spans="1:7" x14ac:dyDescent="0.3">
      <c r="A15" t="s">
        <v>10</v>
      </c>
      <c r="B15">
        <v>2.25</v>
      </c>
      <c r="C15">
        <v>0</v>
      </c>
      <c r="D15">
        <v>0</v>
      </c>
      <c r="E15">
        <v>0</v>
      </c>
      <c r="G15">
        <f>SUM(Tabela24627[[#This Row],[Operador 1]:[Operador 4]])</f>
        <v>2.25</v>
      </c>
    </row>
    <row r="16" spans="1:7" x14ac:dyDescent="0.3">
      <c r="A16" t="s">
        <v>11</v>
      </c>
      <c r="B16">
        <v>1.6666666000000001</v>
      </c>
      <c r="C16">
        <v>0</v>
      </c>
      <c r="D16">
        <v>0</v>
      </c>
      <c r="E16">
        <v>0</v>
      </c>
      <c r="G16">
        <f>SUM(Tabela24627[[#This Row],[Operador 1]:[Operador 4]])</f>
        <v>1.6666666000000001</v>
      </c>
    </row>
    <row r="17" spans="1:5" x14ac:dyDescent="0.3">
      <c r="A17" t="s">
        <v>17</v>
      </c>
      <c r="B17">
        <v>28</v>
      </c>
      <c r="C17">
        <v>28</v>
      </c>
      <c r="D17">
        <v>28</v>
      </c>
      <c r="E17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D27A-8CAF-4B7E-A5E1-434E529F0608}">
  <dimension ref="A1:D9"/>
  <sheetViews>
    <sheetView workbookViewId="0">
      <selection activeCell="D9" sqref="D9"/>
    </sheetView>
  </sheetViews>
  <sheetFormatPr defaultRowHeight="14.4" x14ac:dyDescent="0.3"/>
  <cols>
    <col min="1" max="1" width="19.5546875" bestFit="1" customWidth="1"/>
  </cols>
  <sheetData>
    <row r="1" spans="1:4" x14ac:dyDescent="0.3">
      <c r="A1" t="s">
        <v>35</v>
      </c>
      <c r="B1" t="s">
        <v>36</v>
      </c>
    </row>
    <row r="2" spans="1:4" x14ac:dyDescent="0.3">
      <c r="A2" t="s">
        <v>37</v>
      </c>
      <c r="B2">
        <f>30*60</f>
        <v>1800</v>
      </c>
    </row>
    <row r="3" spans="1:4" x14ac:dyDescent="0.3">
      <c r="A3" t="s">
        <v>38</v>
      </c>
      <c r="B3">
        <f>3600*3</f>
        <v>10800</v>
      </c>
    </row>
    <row r="4" spans="1:4" x14ac:dyDescent="0.3">
      <c r="A4" t="s">
        <v>23</v>
      </c>
      <c r="B4">
        <f>64*25</f>
        <v>1600</v>
      </c>
    </row>
    <row r="5" spans="1:4" x14ac:dyDescent="0.3">
      <c r="A5" t="s">
        <v>39</v>
      </c>
      <c r="B5">
        <v>1600</v>
      </c>
    </row>
    <row r="6" spans="1:4" x14ac:dyDescent="0.3">
      <c r="A6" t="s">
        <v>24</v>
      </c>
      <c r="B6">
        <v>1600</v>
      </c>
    </row>
    <row r="7" spans="1:4" x14ac:dyDescent="0.3">
      <c r="A7" t="s">
        <v>40</v>
      </c>
      <c r="B7">
        <v>1600</v>
      </c>
    </row>
    <row r="8" spans="1:4" x14ac:dyDescent="0.3">
      <c r="A8" t="s">
        <v>41</v>
      </c>
      <c r="B8">
        <v>1600</v>
      </c>
    </row>
    <row r="9" spans="1:4" x14ac:dyDescent="0.3">
      <c r="B9">
        <f>SUM(B2:B8)</f>
        <v>20600</v>
      </c>
      <c r="D9">
        <f>3600*7</f>
        <v>25200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236F-993A-48B2-8C39-B12D38065EFC}">
  <dimension ref="A1:H15"/>
  <sheetViews>
    <sheetView workbookViewId="0">
      <selection activeCell="B17" sqref="B17"/>
    </sheetView>
  </sheetViews>
  <sheetFormatPr defaultRowHeight="14.4" x14ac:dyDescent="0.3"/>
  <cols>
    <col min="1" max="1" width="23.44140625" bestFit="1" customWidth="1"/>
    <col min="2" max="2" width="7" bestFit="1" customWidth="1"/>
    <col min="3" max="3" width="17" bestFit="1" customWidth="1"/>
    <col min="4" max="4" width="14.88671875" bestFit="1" customWidth="1"/>
    <col min="8" max="8" width="19.6640625" bestFit="1" customWidth="1"/>
  </cols>
  <sheetData>
    <row r="1" spans="1:8" x14ac:dyDescent="0.3">
      <c r="A1" t="s">
        <v>42</v>
      </c>
      <c r="B1" t="s">
        <v>45</v>
      </c>
      <c r="C1" t="s">
        <v>43</v>
      </c>
      <c r="D1" t="s">
        <v>46</v>
      </c>
      <c r="H1" t="s">
        <v>58</v>
      </c>
    </row>
    <row r="2" spans="1:8" x14ac:dyDescent="0.3">
      <c r="A2" t="s">
        <v>44</v>
      </c>
      <c r="B2">
        <v>102</v>
      </c>
      <c r="C2">
        <v>20</v>
      </c>
      <c r="D2">
        <f t="shared" ref="D2:D13" si="0">C2*B2</f>
        <v>2040</v>
      </c>
      <c r="H2">
        <f>3600*7.333333</f>
        <v>26399.998799999998</v>
      </c>
    </row>
    <row r="3" spans="1:8" x14ac:dyDescent="0.3">
      <c r="A3" t="s">
        <v>47</v>
      </c>
      <c r="B3">
        <v>29</v>
      </c>
      <c r="C3">
        <v>40</v>
      </c>
      <c r="D3">
        <f t="shared" si="0"/>
        <v>1160</v>
      </c>
    </row>
    <row r="4" spans="1:8" x14ac:dyDescent="0.3">
      <c r="A4" t="s">
        <v>48</v>
      </c>
      <c r="B4">
        <v>106</v>
      </c>
      <c r="C4">
        <v>20</v>
      </c>
      <c r="D4">
        <f t="shared" si="0"/>
        <v>2120</v>
      </c>
    </row>
    <row r="5" spans="1:8" x14ac:dyDescent="0.3">
      <c r="A5" t="s">
        <v>49</v>
      </c>
      <c r="B5">
        <f>16*60+40</f>
        <v>1000</v>
      </c>
      <c r="C5">
        <v>7</v>
      </c>
      <c r="D5">
        <f t="shared" si="0"/>
        <v>7000</v>
      </c>
    </row>
    <row r="6" spans="1:8" x14ac:dyDescent="0.3">
      <c r="A6" t="s">
        <v>50</v>
      </c>
      <c r="B6">
        <v>60</v>
      </c>
      <c r="C6">
        <v>17</v>
      </c>
      <c r="D6">
        <f t="shared" si="0"/>
        <v>1020</v>
      </c>
    </row>
    <row r="7" spans="1:8" x14ac:dyDescent="0.3">
      <c r="A7" t="s">
        <v>52</v>
      </c>
      <c r="B7">
        <v>3600</v>
      </c>
      <c r="C7">
        <v>1</v>
      </c>
      <c r="D7">
        <f t="shared" si="0"/>
        <v>3600</v>
      </c>
    </row>
    <row r="8" spans="1:8" x14ac:dyDescent="0.3">
      <c r="A8" t="s">
        <v>51</v>
      </c>
      <c r="B8">
        <v>3600</v>
      </c>
      <c r="C8">
        <v>1</v>
      </c>
      <c r="D8">
        <f t="shared" si="0"/>
        <v>3600</v>
      </c>
    </row>
    <row r="9" spans="1:8" x14ac:dyDescent="0.3">
      <c r="A9" t="s">
        <v>53</v>
      </c>
      <c r="B9">
        <v>60</v>
      </c>
      <c r="C9">
        <f>8*6</f>
        <v>48</v>
      </c>
      <c r="D9">
        <f t="shared" si="0"/>
        <v>2880</v>
      </c>
    </row>
    <row r="10" spans="1:8" x14ac:dyDescent="0.3">
      <c r="A10" t="s">
        <v>54</v>
      </c>
      <c r="B10">
        <v>60</v>
      </c>
      <c r="C10">
        <v>8</v>
      </c>
      <c r="D10">
        <f t="shared" si="0"/>
        <v>480</v>
      </c>
    </row>
    <row r="11" spans="1:8" x14ac:dyDescent="0.3">
      <c r="A11" t="s">
        <v>57</v>
      </c>
      <c r="B11">
        <v>720</v>
      </c>
      <c r="C11">
        <v>1</v>
      </c>
      <c r="D11">
        <f t="shared" si="0"/>
        <v>720</v>
      </c>
    </row>
    <row r="12" spans="1:8" x14ac:dyDescent="0.3">
      <c r="A12" t="s">
        <v>55</v>
      </c>
      <c r="B12">
        <v>1758</v>
      </c>
      <c r="C12">
        <v>1</v>
      </c>
      <c r="D12">
        <f t="shared" si="0"/>
        <v>1758</v>
      </c>
    </row>
    <row r="13" spans="1:8" x14ac:dyDescent="0.3">
      <c r="A13" t="s">
        <v>56</v>
      </c>
      <c r="B13">
        <v>1800</v>
      </c>
      <c r="C13">
        <v>1</v>
      </c>
      <c r="D13">
        <f t="shared" si="0"/>
        <v>1800</v>
      </c>
    </row>
    <row r="14" spans="1:8" x14ac:dyDescent="0.3">
      <c r="D14">
        <f>SUM(D2:D13)</f>
        <v>28178</v>
      </c>
    </row>
    <row r="15" spans="1:8" x14ac:dyDescent="0.3">
      <c r="D15">
        <f>D14/H2</f>
        <v>1.0673485333643273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B404-EF97-4696-B8B9-70B667F4486B}">
  <dimension ref="A1:F18"/>
  <sheetViews>
    <sheetView zoomScale="70" zoomScaleNormal="70" workbookViewId="0">
      <pane xSplit="1" topLeftCell="B1" activePane="topRight" state="frozen"/>
      <selection pane="topRight" activeCell="B12" sqref="B12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6" width="33" bestFit="1" customWidth="1"/>
  </cols>
  <sheetData>
    <row r="1" spans="1:6" x14ac:dyDescent="0.3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0</v>
      </c>
      <c r="C3">
        <v>12</v>
      </c>
      <c r="D3">
        <v>0</v>
      </c>
      <c r="E3">
        <v>0</v>
      </c>
      <c r="F3">
        <v>0</v>
      </c>
    </row>
    <row r="4" spans="1:6" x14ac:dyDescent="0.3">
      <c r="A4" t="s">
        <v>2</v>
      </c>
      <c r="B4">
        <v>0</v>
      </c>
      <c r="C4">
        <v>0</v>
      </c>
      <c r="D4">
        <v>7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4</v>
      </c>
      <c r="F5">
        <v>0</v>
      </c>
    </row>
    <row r="6" spans="1:6" x14ac:dyDescent="0.3">
      <c r="A6" t="s">
        <v>4</v>
      </c>
      <c r="B6">
        <v>0</v>
      </c>
      <c r="C6">
        <v>0</v>
      </c>
      <c r="D6">
        <v>0</v>
      </c>
      <c r="E6">
        <v>4</v>
      </c>
      <c r="F6">
        <v>0</v>
      </c>
    </row>
    <row r="7" spans="1:6" x14ac:dyDescent="0.3">
      <c r="A7" t="s">
        <v>5</v>
      </c>
      <c r="B7">
        <v>0</v>
      </c>
      <c r="C7">
        <v>0</v>
      </c>
      <c r="D7">
        <v>2</v>
      </c>
      <c r="E7">
        <v>0</v>
      </c>
      <c r="F7">
        <v>0</v>
      </c>
    </row>
    <row r="8" spans="1:6" x14ac:dyDescent="0.3">
      <c r="A8" t="s">
        <v>14</v>
      </c>
      <c r="B8">
        <v>0</v>
      </c>
      <c r="C8">
        <v>0</v>
      </c>
      <c r="D8">
        <v>2</v>
      </c>
      <c r="E8">
        <v>0</v>
      </c>
      <c r="F8">
        <v>0</v>
      </c>
    </row>
    <row r="9" spans="1:6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3">
      <c r="A10" t="s">
        <v>12</v>
      </c>
      <c r="B10">
        <v>0</v>
      </c>
      <c r="C10">
        <v>4.8600000000000003</v>
      </c>
      <c r="D10">
        <v>0</v>
      </c>
      <c r="E10">
        <v>0</v>
      </c>
      <c r="F10">
        <v>0</v>
      </c>
    </row>
    <row r="11" spans="1:6" x14ac:dyDescent="0.3">
      <c r="A11" t="s">
        <v>7</v>
      </c>
      <c r="B11">
        <v>0</v>
      </c>
      <c r="C11">
        <v>4</v>
      </c>
      <c r="D11">
        <v>0</v>
      </c>
      <c r="E11">
        <v>0</v>
      </c>
      <c r="F11">
        <v>4</v>
      </c>
    </row>
    <row r="12" spans="1:6" x14ac:dyDescent="0.3">
      <c r="A12" t="s">
        <v>6</v>
      </c>
      <c r="B12">
        <v>0</v>
      </c>
      <c r="C12">
        <v>4.5</v>
      </c>
      <c r="D12">
        <v>0</v>
      </c>
      <c r="E12">
        <v>0</v>
      </c>
      <c r="F12">
        <v>0</v>
      </c>
    </row>
    <row r="13" spans="1:6" x14ac:dyDescent="0.3">
      <c r="A13" t="s">
        <v>8</v>
      </c>
      <c r="B13">
        <v>0</v>
      </c>
      <c r="C13">
        <v>0</v>
      </c>
      <c r="D13">
        <v>0</v>
      </c>
      <c r="E13">
        <v>0</v>
      </c>
      <c r="F13">
        <v>2</v>
      </c>
    </row>
    <row r="14" spans="1:6" x14ac:dyDescent="0.3">
      <c r="A14" t="s">
        <v>15</v>
      </c>
      <c r="B14">
        <v>0</v>
      </c>
      <c r="C14">
        <v>0</v>
      </c>
      <c r="D14">
        <v>0</v>
      </c>
      <c r="E14">
        <v>4</v>
      </c>
      <c r="F14">
        <v>0</v>
      </c>
    </row>
    <row r="15" spans="1:6" x14ac:dyDescent="0.3">
      <c r="A15" t="s">
        <v>9</v>
      </c>
      <c r="B15">
        <v>0</v>
      </c>
      <c r="C15">
        <v>0</v>
      </c>
      <c r="D15">
        <v>0</v>
      </c>
      <c r="E15">
        <v>0</v>
      </c>
      <c r="F15">
        <v>5.25</v>
      </c>
    </row>
    <row r="16" spans="1:6" x14ac:dyDescent="0.3">
      <c r="A16" t="s">
        <v>10</v>
      </c>
      <c r="B16">
        <v>0</v>
      </c>
      <c r="C16">
        <v>0</v>
      </c>
      <c r="D16">
        <v>0</v>
      </c>
      <c r="E16">
        <v>0</v>
      </c>
      <c r="F16">
        <v>2.25</v>
      </c>
    </row>
    <row r="17" spans="1:6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17</v>
      </c>
      <c r="B18">
        <v>28</v>
      </c>
      <c r="C18">
        <v>28</v>
      </c>
      <c r="D18">
        <v>28</v>
      </c>
      <c r="E18">
        <v>28</v>
      </c>
      <c r="F18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41FC-67D2-4DC5-8A3B-9593565F6ECD}">
  <dimension ref="B1:D7"/>
  <sheetViews>
    <sheetView workbookViewId="0">
      <selection activeCell="M15" sqref="M15"/>
    </sheetView>
  </sheetViews>
  <sheetFormatPr defaultRowHeight="14.4" x14ac:dyDescent="0.3"/>
  <sheetData>
    <row r="1" spans="2:4" x14ac:dyDescent="0.3">
      <c r="B1">
        <v>631</v>
      </c>
      <c r="D1">
        <v>2062</v>
      </c>
    </row>
    <row r="2" spans="2:4" x14ac:dyDescent="0.3">
      <c r="B2">
        <v>1317</v>
      </c>
      <c r="D2">
        <v>2047</v>
      </c>
    </row>
    <row r="3" spans="2:4" x14ac:dyDescent="0.3">
      <c r="B3">
        <v>1561</v>
      </c>
      <c r="D3">
        <v>2109</v>
      </c>
    </row>
    <row r="4" spans="2:4" x14ac:dyDescent="0.3">
      <c r="B4">
        <v>1485</v>
      </c>
      <c r="D4">
        <v>1663</v>
      </c>
    </row>
    <row r="5" spans="2:4" x14ac:dyDescent="0.3">
      <c r="B5">
        <f>AVERAGE(B1:B4)</f>
        <v>1248.5</v>
      </c>
      <c r="D5">
        <f>AVERAGE(D1:D4)</f>
        <v>1970.25</v>
      </c>
    </row>
    <row r="7" spans="2:4" x14ac:dyDescent="0.3">
      <c r="D7" s="2">
        <f>B5/D5</f>
        <v>0.63367592945057738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ECA0-0274-47F7-A526-46C3DE0B7C22}">
  <dimension ref="A1:F30"/>
  <sheetViews>
    <sheetView zoomScale="70" zoomScaleNormal="70" workbookViewId="0">
      <pane xSplit="1" topLeftCell="B1" activePane="topRight" state="frozen"/>
      <selection pane="topRight" activeCell="C28" sqref="C28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6" width="33" bestFit="1" customWidth="1"/>
  </cols>
  <sheetData>
    <row r="1" spans="1:6" x14ac:dyDescent="0.3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12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2</v>
      </c>
      <c r="B4">
        <v>0</v>
      </c>
      <c r="C4">
        <v>0</v>
      </c>
      <c r="D4">
        <v>7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4</v>
      </c>
      <c r="F5">
        <v>0</v>
      </c>
    </row>
    <row r="6" spans="1:6" x14ac:dyDescent="0.3">
      <c r="A6" t="s">
        <v>4</v>
      </c>
      <c r="B6">
        <v>0</v>
      </c>
      <c r="C6">
        <v>0</v>
      </c>
      <c r="D6">
        <v>0</v>
      </c>
      <c r="E6">
        <v>4</v>
      </c>
      <c r="F6">
        <v>0</v>
      </c>
    </row>
    <row r="7" spans="1:6" x14ac:dyDescent="0.3">
      <c r="A7" t="s">
        <v>5</v>
      </c>
      <c r="B7">
        <v>0</v>
      </c>
      <c r="C7">
        <v>0</v>
      </c>
      <c r="D7">
        <v>2</v>
      </c>
      <c r="E7">
        <v>0</v>
      </c>
      <c r="F7">
        <v>0</v>
      </c>
    </row>
    <row r="8" spans="1:6" x14ac:dyDescent="0.3">
      <c r="A8" t="s">
        <v>14</v>
      </c>
      <c r="B8">
        <v>0</v>
      </c>
      <c r="C8">
        <v>0</v>
      </c>
      <c r="D8">
        <v>2</v>
      </c>
      <c r="E8">
        <v>0</v>
      </c>
      <c r="F8">
        <v>0</v>
      </c>
    </row>
    <row r="9" spans="1:6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3">
      <c r="A10" t="s">
        <v>12</v>
      </c>
      <c r="B10">
        <v>0</v>
      </c>
      <c r="C10">
        <v>0</v>
      </c>
      <c r="D10">
        <v>0</v>
      </c>
      <c r="E10">
        <v>4.8600000000000003</v>
      </c>
      <c r="F10">
        <v>0</v>
      </c>
    </row>
    <row r="11" spans="1:6" x14ac:dyDescent="0.3">
      <c r="A11" t="s">
        <v>7</v>
      </c>
      <c r="B11">
        <v>0</v>
      </c>
      <c r="C11">
        <v>0</v>
      </c>
      <c r="D11">
        <v>0</v>
      </c>
      <c r="E11">
        <v>0</v>
      </c>
      <c r="F11">
        <v>4</v>
      </c>
    </row>
    <row r="12" spans="1:6" x14ac:dyDescent="0.3">
      <c r="A12" t="s">
        <v>6</v>
      </c>
      <c r="B12">
        <v>0</v>
      </c>
      <c r="C12">
        <v>0</v>
      </c>
      <c r="D12">
        <v>0</v>
      </c>
      <c r="E12">
        <v>0</v>
      </c>
      <c r="F12">
        <v>4.5</v>
      </c>
    </row>
    <row r="13" spans="1:6" x14ac:dyDescent="0.3">
      <c r="A13" t="s">
        <v>8</v>
      </c>
      <c r="B13">
        <v>0</v>
      </c>
      <c r="C13">
        <v>0</v>
      </c>
      <c r="D13">
        <v>0</v>
      </c>
      <c r="E13">
        <v>0</v>
      </c>
      <c r="F13">
        <v>2</v>
      </c>
    </row>
    <row r="14" spans="1:6" x14ac:dyDescent="0.3">
      <c r="A14" t="s">
        <v>15</v>
      </c>
      <c r="B14">
        <v>0</v>
      </c>
      <c r="C14">
        <v>0</v>
      </c>
      <c r="D14">
        <v>0</v>
      </c>
      <c r="E14">
        <v>4</v>
      </c>
      <c r="F14">
        <v>0</v>
      </c>
    </row>
    <row r="15" spans="1:6" x14ac:dyDescent="0.3">
      <c r="A15" t="s">
        <v>9</v>
      </c>
      <c r="B15">
        <v>0</v>
      </c>
      <c r="C15">
        <v>0</v>
      </c>
      <c r="D15">
        <v>0</v>
      </c>
      <c r="E15">
        <v>0</v>
      </c>
      <c r="F15">
        <v>5.25</v>
      </c>
    </row>
    <row r="16" spans="1:6" x14ac:dyDescent="0.3">
      <c r="A16" t="s">
        <v>10</v>
      </c>
      <c r="B16">
        <v>0</v>
      </c>
      <c r="C16">
        <v>0</v>
      </c>
      <c r="D16">
        <v>0</v>
      </c>
      <c r="E16">
        <v>0</v>
      </c>
      <c r="F16">
        <v>2.25</v>
      </c>
    </row>
    <row r="17" spans="1:6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23</v>
      </c>
      <c r="B18">
        <f>65/60</f>
        <v>1.0833333333333333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24</v>
      </c>
      <c r="B19">
        <v>0</v>
      </c>
      <c r="C19">
        <v>1.36</v>
      </c>
      <c r="D19">
        <v>0</v>
      </c>
      <c r="E19">
        <v>0</v>
      </c>
      <c r="F19">
        <v>0</v>
      </c>
    </row>
    <row r="20" spans="1:6" x14ac:dyDescent="0.3">
      <c r="A20" t="s">
        <v>33</v>
      </c>
      <c r="B20">
        <v>0</v>
      </c>
      <c r="C20">
        <v>0</v>
      </c>
      <c r="D20">
        <f>22/60</f>
        <v>0.36666666666666664</v>
      </c>
      <c r="E20">
        <v>0</v>
      </c>
      <c r="F20">
        <v>0</v>
      </c>
    </row>
    <row r="21" spans="1:6" x14ac:dyDescent="0.3">
      <c r="A21" t="s">
        <v>34</v>
      </c>
      <c r="B21">
        <v>0</v>
      </c>
      <c r="C21">
        <v>0</v>
      </c>
      <c r="D21" s="1">
        <v>2.04</v>
      </c>
      <c r="E21">
        <v>0</v>
      </c>
      <c r="F21">
        <v>0</v>
      </c>
    </row>
    <row r="22" spans="1:6" x14ac:dyDescent="0.3">
      <c r="A22" t="s">
        <v>25</v>
      </c>
      <c r="B22">
        <v>0</v>
      </c>
      <c r="C22">
        <v>0</v>
      </c>
      <c r="D22">
        <v>0</v>
      </c>
      <c r="E22">
        <f>17*60/150</f>
        <v>6.8</v>
      </c>
      <c r="F22">
        <v>0</v>
      </c>
    </row>
    <row r="23" spans="1:6" x14ac:dyDescent="0.3">
      <c r="A23" t="s">
        <v>26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27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31</v>
      </c>
      <c r="B25">
        <v>0</v>
      </c>
      <c r="C25">
        <v>0</v>
      </c>
      <c r="D25">
        <v>1</v>
      </c>
      <c r="E25">
        <v>0</v>
      </c>
      <c r="F25">
        <v>0</v>
      </c>
    </row>
    <row r="26" spans="1:6" x14ac:dyDescent="0.3">
      <c r="A26" t="s">
        <v>30</v>
      </c>
      <c r="B26">
        <v>0</v>
      </c>
      <c r="C26">
        <v>0</v>
      </c>
      <c r="D26">
        <v>1</v>
      </c>
      <c r="E26">
        <v>0</v>
      </c>
      <c r="F26">
        <v>0</v>
      </c>
    </row>
    <row r="27" spans="1:6" x14ac:dyDescent="0.3">
      <c r="A27" t="s">
        <v>28</v>
      </c>
      <c r="B27">
        <v>0</v>
      </c>
      <c r="C27">
        <v>0</v>
      </c>
      <c r="D27">
        <v>0</v>
      </c>
      <c r="E27">
        <v>1</v>
      </c>
      <c r="F27">
        <v>0</v>
      </c>
    </row>
    <row r="28" spans="1:6" x14ac:dyDescent="0.3">
      <c r="A28" t="s">
        <v>29</v>
      </c>
      <c r="B28">
        <v>0</v>
      </c>
      <c r="C28">
        <v>0</v>
      </c>
      <c r="D28">
        <v>0</v>
      </c>
      <c r="E28">
        <f>120/120</f>
        <v>1</v>
      </c>
      <c r="F28">
        <v>0</v>
      </c>
    </row>
    <row r="29" spans="1:6" x14ac:dyDescent="0.3">
      <c r="A29" t="s">
        <v>32</v>
      </c>
      <c r="B29">
        <v>0</v>
      </c>
      <c r="C29">
        <v>0</v>
      </c>
      <c r="D29">
        <v>1</v>
      </c>
      <c r="E29">
        <v>0</v>
      </c>
      <c r="F29">
        <v>0</v>
      </c>
    </row>
    <row r="30" spans="1:6" x14ac:dyDescent="0.3">
      <c r="A30" t="s">
        <v>17</v>
      </c>
      <c r="B30">
        <v>30</v>
      </c>
      <c r="C30">
        <v>30</v>
      </c>
      <c r="D30">
        <v>30</v>
      </c>
      <c r="E30">
        <v>30</v>
      </c>
      <c r="F30">
        <v>30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888A-285D-4A2C-B3A4-E87AB941DC65}">
  <dimension ref="A1:F18"/>
  <sheetViews>
    <sheetView zoomScale="85" zoomScaleNormal="85" workbookViewId="0">
      <selection activeCell="C13" sqref="C13"/>
    </sheetView>
  </sheetViews>
  <sheetFormatPr defaultRowHeight="14.4" x14ac:dyDescent="0.3"/>
  <cols>
    <col min="1" max="1" width="32" bestFit="1" customWidth="1"/>
    <col min="2" max="2" width="18.6640625" bestFit="1" customWidth="1"/>
    <col min="3" max="3" width="23.44140625" bestFit="1" customWidth="1"/>
    <col min="4" max="4" width="19.6640625" bestFit="1" customWidth="1"/>
    <col min="5" max="5" width="25.33203125" bestFit="1" customWidth="1"/>
    <col min="6" max="6" width="25.109375" bestFit="1" customWidth="1"/>
  </cols>
  <sheetData>
    <row r="1" spans="1:6" x14ac:dyDescent="0.3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0</v>
      </c>
      <c r="C3">
        <v>6.666666666666667</v>
      </c>
      <c r="D3">
        <v>0</v>
      </c>
      <c r="E3">
        <v>0</v>
      </c>
      <c r="F3">
        <v>0</v>
      </c>
    </row>
    <row r="4" spans="1:6" x14ac:dyDescent="0.3">
      <c r="A4" t="s">
        <v>2</v>
      </c>
      <c r="B4">
        <v>0</v>
      </c>
      <c r="C4">
        <v>0</v>
      </c>
      <c r="D4">
        <v>7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4</v>
      </c>
      <c r="F5">
        <v>0</v>
      </c>
    </row>
    <row r="6" spans="1:6" x14ac:dyDescent="0.3">
      <c r="A6" t="s">
        <v>4</v>
      </c>
      <c r="B6">
        <v>0</v>
      </c>
      <c r="C6">
        <v>0</v>
      </c>
      <c r="D6">
        <v>0</v>
      </c>
      <c r="E6">
        <v>4</v>
      </c>
      <c r="F6">
        <v>0</v>
      </c>
    </row>
    <row r="7" spans="1:6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8.2200000000000006</v>
      </c>
    </row>
    <row r="8" spans="1:6" x14ac:dyDescent="0.3">
      <c r="A8" t="s">
        <v>14</v>
      </c>
      <c r="B8">
        <v>0</v>
      </c>
      <c r="C8">
        <v>0</v>
      </c>
      <c r="D8">
        <v>0</v>
      </c>
      <c r="E8">
        <v>0</v>
      </c>
      <c r="F8">
        <v>2</v>
      </c>
    </row>
    <row r="9" spans="1:6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3">
      <c r="A10" t="s">
        <v>12</v>
      </c>
      <c r="B10">
        <v>0</v>
      </c>
      <c r="C10">
        <v>0</v>
      </c>
      <c r="D10">
        <v>0</v>
      </c>
      <c r="E10">
        <v>0</v>
      </c>
      <c r="F10">
        <v>4.8600000000000003</v>
      </c>
    </row>
    <row r="11" spans="1:6" x14ac:dyDescent="0.3">
      <c r="A11" t="s">
        <v>7</v>
      </c>
      <c r="B11">
        <v>0</v>
      </c>
      <c r="C11">
        <v>0</v>
      </c>
      <c r="D11">
        <v>0</v>
      </c>
      <c r="E11">
        <v>0</v>
      </c>
      <c r="F11">
        <v>4</v>
      </c>
    </row>
    <row r="12" spans="1:6" x14ac:dyDescent="0.3">
      <c r="A12" t="s">
        <v>6</v>
      </c>
      <c r="B12">
        <v>0</v>
      </c>
      <c r="C12">
        <v>0</v>
      </c>
      <c r="D12">
        <v>0</v>
      </c>
      <c r="E12">
        <v>0</v>
      </c>
      <c r="F12">
        <v>4.5</v>
      </c>
    </row>
    <row r="13" spans="1:6" x14ac:dyDescent="0.3">
      <c r="A13" t="s">
        <v>8</v>
      </c>
      <c r="B13">
        <v>0</v>
      </c>
      <c r="C13">
        <v>0</v>
      </c>
      <c r="D13">
        <v>0</v>
      </c>
      <c r="E13">
        <v>0</v>
      </c>
      <c r="F13">
        <v>2</v>
      </c>
    </row>
    <row r="14" spans="1:6" x14ac:dyDescent="0.3">
      <c r="A14" t="s">
        <v>15</v>
      </c>
      <c r="B14">
        <v>0</v>
      </c>
      <c r="C14">
        <v>0</v>
      </c>
      <c r="D14">
        <v>0</v>
      </c>
      <c r="E14">
        <v>0</v>
      </c>
      <c r="F14">
        <v>4</v>
      </c>
    </row>
    <row r="15" spans="1:6" x14ac:dyDescent="0.3">
      <c r="A15" t="s">
        <v>9</v>
      </c>
      <c r="B15">
        <v>0</v>
      </c>
      <c r="C15">
        <v>0</v>
      </c>
      <c r="D15">
        <v>0</v>
      </c>
      <c r="E15">
        <v>0</v>
      </c>
      <c r="F15">
        <v>5.25</v>
      </c>
    </row>
    <row r="16" spans="1:6" x14ac:dyDescent="0.3">
      <c r="A16" t="s">
        <v>10</v>
      </c>
      <c r="B16">
        <v>0</v>
      </c>
      <c r="C16">
        <v>0</v>
      </c>
      <c r="D16">
        <v>0</v>
      </c>
      <c r="E16">
        <v>0</v>
      </c>
      <c r="F16">
        <v>2.25</v>
      </c>
    </row>
    <row r="17" spans="1:6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17</v>
      </c>
      <c r="B18">
        <v>30</v>
      </c>
      <c r="C18">
        <v>30</v>
      </c>
      <c r="D18">
        <v>30</v>
      </c>
      <c r="E18">
        <v>30</v>
      </c>
      <c r="F18">
        <v>30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6E96-A38A-4DFB-9818-192AA3D2545E}">
  <dimension ref="A1:F30"/>
  <sheetViews>
    <sheetView zoomScale="70" zoomScaleNormal="70" workbookViewId="0">
      <pane xSplit="1" topLeftCell="D1" activePane="topRight" state="frozen"/>
      <selection pane="topRight" activeCell="C35" sqref="C35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6" width="33" bestFit="1" customWidth="1"/>
  </cols>
  <sheetData>
    <row r="1" spans="1:6" x14ac:dyDescent="0.3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0</v>
      </c>
      <c r="C3">
        <v>12</v>
      </c>
      <c r="D3">
        <v>0</v>
      </c>
      <c r="E3">
        <v>0</v>
      </c>
      <c r="F3">
        <v>0</v>
      </c>
    </row>
    <row r="4" spans="1:6" x14ac:dyDescent="0.3">
      <c r="A4" t="s">
        <v>2</v>
      </c>
      <c r="B4">
        <v>0</v>
      </c>
      <c r="C4">
        <v>0</v>
      </c>
      <c r="D4">
        <v>7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4</v>
      </c>
      <c r="F5">
        <v>0</v>
      </c>
    </row>
    <row r="6" spans="1:6" x14ac:dyDescent="0.3">
      <c r="A6" t="s">
        <v>4</v>
      </c>
      <c r="B6">
        <v>0</v>
      </c>
      <c r="C6">
        <v>0</v>
      </c>
      <c r="D6">
        <v>0</v>
      </c>
      <c r="E6">
        <v>4</v>
      </c>
      <c r="F6">
        <v>0</v>
      </c>
    </row>
    <row r="7" spans="1:6" x14ac:dyDescent="0.3">
      <c r="A7" t="s">
        <v>5</v>
      </c>
      <c r="B7">
        <v>0</v>
      </c>
      <c r="C7">
        <v>0</v>
      </c>
      <c r="D7">
        <v>2</v>
      </c>
      <c r="E7">
        <v>0</v>
      </c>
      <c r="F7">
        <v>0</v>
      </c>
    </row>
    <row r="8" spans="1:6" x14ac:dyDescent="0.3">
      <c r="A8" t="s">
        <v>14</v>
      </c>
      <c r="B8">
        <v>0</v>
      </c>
      <c r="C8">
        <v>0</v>
      </c>
      <c r="D8">
        <v>2</v>
      </c>
      <c r="E8">
        <v>0</v>
      </c>
      <c r="F8">
        <v>0</v>
      </c>
    </row>
    <row r="9" spans="1:6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3">
      <c r="A10" t="s">
        <v>12</v>
      </c>
      <c r="B10">
        <v>0</v>
      </c>
      <c r="C10">
        <v>4.8600000000000003</v>
      </c>
      <c r="D10">
        <v>0</v>
      </c>
      <c r="E10">
        <v>0</v>
      </c>
      <c r="F10">
        <v>0</v>
      </c>
    </row>
    <row r="11" spans="1:6" x14ac:dyDescent="0.3">
      <c r="A11" t="s">
        <v>7</v>
      </c>
      <c r="B11">
        <v>0</v>
      </c>
      <c r="C11">
        <v>4</v>
      </c>
      <c r="D11">
        <v>0</v>
      </c>
      <c r="E11">
        <v>0</v>
      </c>
      <c r="F11">
        <v>0</v>
      </c>
    </row>
    <row r="12" spans="1:6" x14ac:dyDescent="0.3">
      <c r="A12" t="s">
        <v>6</v>
      </c>
      <c r="B12">
        <v>0</v>
      </c>
      <c r="C12">
        <v>0</v>
      </c>
      <c r="D12">
        <v>0</v>
      </c>
      <c r="E12">
        <v>0</v>
      </c>
      <c r="F12">
        <v>4.5</v>
      </c>
    </row>
    <row r="13" spans="1:6" x14ac:dyDescent="0.3">
      <c r="A13" t="s">
        <v>8</v>
      </c>
      <c r="B13">
        <v>0</v>
      </c>
      <c r="C13">
        <v>0</v>
      </c>
      <c r="D13">
        <v>0</v>
      </c>
      <c r="E13">
        <v>2</v>
      </c>
      <c r="F13">
        <v>0</v>
      </c>
    </row>
    <row r="14" spans="1:6" x14ac:dyDescent="0.3">
      <c r="A14" t="s">
        <v>15</v>
      </c>
      <c r="B14">
        <v>0</v>
      </c>
      <c r="C14">
        <v>0</v>
      </c>
      <c r="D14">
        <v>4</v>
      </c>
      <c r="E14">
        <v>0</v>
      </c>
      <c r="F14">
        <v>0</v>
      </c>
    </row>
    <row r="15" spans="1:6" x14ac:dyDescent="0.3">
      <c r="A15" t="s">
        <v>9</v>
      </c>
      <c r="B15">
        <v>0</v>
      </c>
      <c r="C15">
        <v>0</v>
      </c>
      <c r="D15">
        <v>0</v>
      </c>
      <c r="E15">
        <v>0</v>
      </c>
      <c r="F15">
        <v>5.25</v>
      </c>
    </row>
    <row r="16" spans="1:6" x14ac:dyDescent="0.3">
      <c r="A16" t="s">
        <v>10</v>
      </c>
      <c r="B16">
        <v>0</v>
      </c>
      <c r="C16">
        <v>0</v>
      </c>
      <c r="D16">
        <v>0</v>
      </c>
      <c r="E16">
        <v>0</v>
      </c>
      <c r="F16">
        <v>2.25</v>
      </c>
    </row>
    <row r="17" spans="1:6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23</v>
      </c>
      <c r="B18">
        <f>65/60</f>
        <v>1.0833333333333333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24</v>
      </c>
      <c r="B19">
        <v>0</v>
      </c>
      <c r="C19">
        <v>1.36</v>
      </c>
      <c r="D19">
        <v>0</v>
      </c>
      <c r="E19">
        <v>0</v>
      </c>
      <c r="F19">
        <v>0</v>
      </c>
    </row>
    <row r="20" spans="1:6" x14ac:dyDescent="0.3">
      <c r="A20" t="s">
        <v>33</v>
      </c>
      <c r="B20">
        <v>0</v>
      </c>
      <c r="C20">
        <v>0</v>
      </c>
      <c r="D20">
        <f>22/60</f>
        <v>0.36666666666666664</v>
      </c>
      <c r="E20">
        <v>0</v>
      </c>
      <c r="F20">
        <v>0</v>
      </c>
    </row>
    <row r="21" spans="1:6" x14ac:dyDescent="0.3">
      <c r="A21" t="s">
        <v>34</v>
      </c>
      <c r="B21">
        <v>0</v>
      </c>
      <c r="C21">
        <v>0</v>
      </c>
      <c r="D21" s="1">
        <v>2.04</v>
      </c>
      <c r="E21">
        <v>0</v>
      </c>
      <c r="F21">
        <v>0</v>
      </c>
    </row>
    <row r="22" spans="1:6" x14ac:dyDescent="0.3">
      <c r="A22" t="s">
        <v>25</v>
      </c>
      <c r="B22">
        <v>0</v>
      </c>
      <c r="C22">
        <v>0</v>
      </c>
      <c r="D22">
        <v>0</v>
      </c>
      <c r="E22">
        <f>17*60/150</f>
        <v>6.8</v>
      </c>
      <c r="F22">
        <v>0</v>
      </c>
    </row>
    <row r="23" spans="1:6" x14ac:dyDescent="0.3">
      <c r="A23" t="s">
        <v>26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27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31</v>
      </c>
      <c r="B25">
        <v>0</v>
      </c>
      <c r="C25">
        <v>0</v>
      </c>
      <c r="D25">
        <v>1</v>
      </c>
      <c r="E25">
        <v>0</v>
      </c>
      <c r="F25">
        <v>0</v>
      </c>
    </row>
    <row r="26" spans="1:6" x14ac:dyDescent="0.3">
      <c r="A26" t="s">
        <v>30</v>
      </c>
      <c r="B26">
        <v>0</v>
      </c>
      <c r="C26">
        <v>0</v>
      </c>
      <c r="D26">
        <v>1</v>
      </c>
      <c r="E26">
        <v>0</v>
      </c>
      <c r="F26">
        <v>0</v>
      </c>
    </row>
    <row r="27" spans="1:6" x14ac:dyDescent="0.3">
      <c r="A27" t="s">
        <v>28</v>
      </c>
      <c r="B27">
        <v>0</v>
      </c>
      <c r="C27">
        <v>0</v>
      </c>
      <c r="D27">
        <v>0</v>
      </c>
      <c r="E27">
        <v>1</v>
      </c>
      <c r="F27">
        <v>0</v>
      </c>
    </row>
    <row r="28" spans="1:6" x14ac:dyDescent="0.3">
      <c r="A28" t="s">
        <v>29</v>
      </c>
      <c r="B28">
        <v>0</v>
      </c>
      <c r="C28">
        <v>0</v>
      </c>
      <c r="D28">
        <v>0</v>
      </c>
      <c r="E28">
        <f>120/120</f>
        <v>1</v>
      </c>
      <c r="F28">
        <v>0</v>
      </c>
    </row>
    <row r="29" spans="1:6" x14ac:dyDescent="0.3">
      <c r="A29" t="s">
        <v>32</v>
      </c>
      <c r="B29">
        <v>0</v>
      </c>
      <c r="C29">
        <v>0</v>
      </c>
      <c r="D29">
        <v>1</v>
      </c>
      <c r="E29">
        <v>0</v>
      </c>
      <c r="F29">
        <v>0</v>
      </c>
    </row>
    <row r="30" spans="1:6" x14ac:dyDescent="0.3">
      <c r="A30" t="s">
        <v>17</v>
      </c>
      <c r="B30">
        <v>30</v>
      </c>
      <c r="C30">
        <v>30</v>
      </c>
      <c r="D30">
        <v>30</v>
      </c>
      <c r="E30">
        <v>30</v>
      </c>
      <c r="F30">
        <v>30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Planilha3 (3)</vt:lpstr>
      <vt:lpstr>Planilha3 (2)</vt:lpstr>
      <vt:lpstr>NOVO LAYOUT</vt:lpstr>
      <vt:lpstr>NOVO LAYOUT (2)</vt:lpstr>
      <vt:lpstr>NOVO LAYOUT - 3 OP CEN 2</vt:lpstr>
      <vt:lpstr>NOVO LAYOUT CENARIO 3 OP</vt:lpstr>
      <vt:lpstr>CENÁRIO 3</vt:lpstr>
      <vt:lpstr>CENÁRIO 2</vt:lpstr>
      <vt:lpstr>CENÁRIO 1</vt:lpstr>
      <vt:lpstr>Planilha2</vt:lpstr>
      <vt:lpstr>PERDAS DE DISPONIBILIDADE</vt:lpstr>
      <vt:lpstr>OPERAÇÃO</vt:lpstr>
      <vt:lpstr>Planilha1</vt:lpstr>
      <vt:lpstr>BALANCEADO</vt:lpstr>
      <vt:lpstr>ESTADO ATUAL</vt:lpstr>
      <vt:lpstr>BALANCEADO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de Conto Rodrigues</dc:creator>
  <cp:lastModifiedBy>Matheus de Conto Rodrigues</cp:lastModifiedBy>
  <dcterms:created xsi:type="dcterms:W3CDTF">2024-07-11T17:04:08Z</dcterms:created>
  <dcterms:modified xsi:type="dcterms:W3CDTF">2025-05-04T20:11:36Z</dcterms:modified>
</cp:coreProperties>
</file>