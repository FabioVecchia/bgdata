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G:\06 - ENGENHARIA DE PRODUÇÃO\27 - PROJETO F4\"/>
    </mc:Choice>
  </mc:AlternateContent>
  <xr:revisionPtr revIDLastSave="0" documentId="13_ncr:1_{E894CB83-E423-4E1E-83D3-CC1A4359E2A0}" xr6:coauthVersionLast="47" xr6:coauthVersionMax="47" xr10:uidLastSave="{00000000-0000-0000-0000-000000000000}"/>
  <bookViews>
    <workbookView xWindow="-120" yWindow="-120" windowWidth="29040" windowHeight="15840" xr2:uid="{FBEF527B-7576-47CE-9562-50DF933AE1A2}"/>
  </bookViews>
  <sheets>
    <sheet name="SHINGO - F3" sheetId="1" r:id="rId1"/>
    <sheet name="SHINGO - F4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22" i="1" l="1"/>
  <c r="M10" i="1" l="1"/>
  <c r="F13" i="1"/>
  <c r="F12" i="1"/>
  <c r="C10" i="1"/>
  <c r="D10" i="1"/>
  <c r="E10" i="1"/>
  <c r="E9" i="1"/>
  <c r="D8" i="1"/>
  <c r="E7" i="1"/>
  <c r="D6" i="1"/>
  <c r="L12" i="1"/>
  <c r="M7" i="1" s="1"/>
  <c r="K12" i="1"/>
  <c r="P6" i="1" l="1"/>
  <c r="P7" i="1" s="1"/>
  <c r="P8" i="1" s="1"/>
  <c r="M9" i="1"/>
  <c r="M5" i="1"/>
  <c r="M6" i="1"/>
  <c r="M12" i="1"/>
  <c r="M8" i="1"/>
  <c r="M4" i="1"/>
</calcChain>
</file>

<file path=xl/sharedStrings.xml><?xml version="1.0" encoding="utf-8"?>
<sst xmlns="http://schemas.openxmlformats.org/spreadsheetml/2006/main" count="38" uniqueCount="27">
  <si>
    <t>Atividade</t>
  </si>
  <si>
    <t>Símbolo</t>
  </si>
  <si>
    <t>AV?</t>
  </si>
  <si>
    <t>N</t>
  </si>
  <si>
    <t>S</t>
  </si>
  <si>
    <t>ESTOQUE
M.P.</t>
  </si>
  <si>
    <t>TRANSPORTE</t>
  </si>
  <si>
    <t>ESPERANDO
PROCESSO</t>
  </si>
  <si>
    <t>PROCESSANDO</t>
  </si>
  <si>
    <t>ESPERANDO
LOTE</t>
  </si>
  <si>
    <t>INSPEÇÃO</t>
  </si>
  <si>
    <t>ESTOQUE
PRODUTO</t>
  </si>
  <si>
    <t>-</t>
  </si>
  <si>
    <t>TAV (min)</t>
  </si>
  <si>
    <t>TNAV (min)</t>
  </si>
  <si>
    <t>Total (min):</t>
  </si>
  <si>
    <t>Lead Time Total (min):</t>
  </si>
  <si>
    <t>Lead Time Total (h):</t>
  </si>
  <si>
    <t>Lead Time Total (dias):</t>
  </si>
  <si>
    <t>PORCENTAGEM DE VALOR AGREGADO (Terminal)</t>
  </si>
  <si>
    <t>t</t>
  </si>
  <si>
    <t>e</t>
  </si>
  <si>
    <t>l</t>
  </si>
  <si>
    <t>h</t>
  </si>
  <si>
    <t>d</t>
  </si>
  <si>
    <t>P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</si>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</sst>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medium">
        <color theme="1"/>
      </left>
      <right/>
      <top/>
      <bottom/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/>
      <top style="thin">
        <color theme="1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1">
    <xf numFmtId="0" fontId="0" fillId="0" borderId="0" xfId="0"/>
    <xf numFmtId="0" fontId="2" fillId="4" borderId="5" xfId="0" applyFont="1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164" fontId="0" fillId="0" borderId="3" xfId="1" applyNumberFormat="1" applyFont="1" applyBorder="1"/>
    <xf numFmtId="0" fontId="0" fillId="0" borderId="11" xfId="0" applyBorder="1"/>
    <xf numFmtId="1" fontId="0" fillId="0" borderId="12" xfId="0" applyNumberFormat="1" applyBorder="1"/>
    <xf numFmtId="0" fontId="0" fillId="0" borderId="13" xfId="0" applyBorder="1"/>
    <xf numFmtId="1" fontId="0" fillId="0" borderId="14" xfId="0" applyNumberFormat="1" applyBorder="1"/>
    <xf numFmtId="0" fontId="0" fillId="0" borderId="15" xfId="0" applyBorder="1"/>
    <xf numFmtId="2" fontId="0" fillId="0" borderId="16" xfId="0" applyNumberFormat="1" applyBorder="1"/>
    <xf numFmtId="0" fontId="3" fillId="5" borderId="1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0" fillId="4" borderId="19" xfId="0" applyFill="1" applyBorder="1" applyAlignment="1">
      <alignment horizontal="center"/>
    </xf>
    <xf numFmtId="0" fontId="0" fillId="4" borderId="20" xfId="0" applyFill="1" applyBorder="1" applyAlignment="1">
      <alignment horizontal="center" vertical="center" wrapText="1"/>
    </xf>
    <xf numFmtId="0" fontId="2" fillId="4" borderId="20" xfId="0" applyFont="1" applyFill="1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0" fontId="0" fillId="4" borderId="21" xfId="0" applyFill="1" applyBorder="1" applyAlignment="1">
      <alignment horizontal="center" vertical="center"/>
    </xf>
    <xf numFmtId="10" fontId="0" fillId="3" borderId="12" xfId="1" applyNumberFormat="1" applyFont="1" applyFill="1" applyBorder="1" applyAlignment="1">
      <alignment horizontal="center" vertical="center"/>
    </xf>
    <xf numFmtId="0" fontId="0" fillId="4" borderId="22" xfId="0" applyFill="1" applyBorder="1"/>
    <xf numFmtId="10" fontId="0" fillId="3" borderId="14" xfId="1" applyNumberFormat="1" applyFont="1" applyFill="1" applyBorder="1" applyAlignment="1">
      <alignment horizontal="center" vertical="center"/>
    </xf>
    <xf numFmtId="0" fontId="0" fillId="4" borderId="23" xfId="0" applyFill="1" applyBorder="1"/>
    <xf numFmtId="0" fontId="0" fillId="4" borderId="24" xfId="0" applyFill="1" applyBorder="1" applyAlignment="1">
      <alignment horizontal="center" vertical="center" wrapText="1"/>
    </xf>
    <xf numFmtId="0" fontId="2" fillId="4" borderId="24" xfId="0" applyFont="1" applyFill="1" applyBorder="1" applyAlignment="1">
      <alignment horizontal="center" vertical="center"/>
    </xf>
    <xf numFmtId="0" fontId="0" fillId="4" borderId="24" xfId="0" applyFill="1" applyBorder="1" applyAlignment="1">
      <alignment horizontal="center" vertical="center"/>
    </xf>
    <xf numFmtId="0" fontId="0" fillId="4" borderId="25" xfId="0" applyFill="1" applyBorder="1" applyAlignment="1">
      <alignment horizontal="center" vertical="center"/>
    </xf>
    <xf numFmtId="10" fontId="0" fillId="3" borderId="16" xfId="1" applyNumberFormat="1" applyFont="1" applyFill="1" applyBorder="1" applyAlignment="1">
      <alignment horizontal="center" vertical="center"/>
    </xf>
    <xf numFmtId="0" fontId="0" fillId="0" borderId="8" xfId="0" applyBorder="1"/>
    <xf numFmtId="0" fontId="0" fillId="0" borderId="8" xfId="0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8" xfId="0" applyFill="1" applyBorder="1"/>
    <xf numFmtId="164" fontId="0" fillId="3" borderId="14" xfId="1" applyNumberFormat="1" applyFont="1" applyFill="1" applyBorder="1" applyAlignment="1">
      <alignment horizontal="center" vertical="center"/>
    </xf>
    <xf numFmtId="9" fontId="5" fillId="5" borderId="7" xfId="1" applyFont="1" applyFill="1" applyBorder="1" applyAlignment="1">
      <alignment horizontal="center" vertical="center"/>
    </xf>
    <xf numFmtId="9" fontId="5" fillId="5" borderId="10" xfId="1" applyFont="1" applyFill="1" applyBorder="1" applyAlignment="1">
      <alignment horizontal="center" vertic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3</xdr:row>
      <xdr:rowOff>38100</xdr:rowOff>
    </xdr:from>
    <xdr:to>
      <xdr:col>7</xdr:col>
      <xdr:colOff>687075</xdr:colOff>
      <xdr:row>3</xdr:row>
      <xdr:rowOff>398100</xdr:rowOff>
    </xdr:to>
    <xdr:sp macro="" textlink="">
      <xdr:nvSpPr>
        <xdr:cNvPr id="73" name="Triângulo isósceles 72">
          <a:extLst>
            <a:ext uri="{FF2B5EF4-FFF2-40B4-BE49-F238E27FC236}">
              <a16:creationId xmlns:a16="http://schemas.microsoft.com/office/drawing/2014/main" id="{A6E94907-89A1-45A3-AF78-D283CD67BAB8}"/>
            </a:ext>
          </a:extLst>
        </xdr:cNvPr>
        <xdr:cNvSpPr/>
      </xdr:nvSpPr>
      <xdr:spPr>
        <a:xfrm>
          <a:off x="3267075" y="638175"/>
          <a:ext cx="468000" cy="360000"/>
        </a:xfrm>
        <a:prstGeom prst="triangle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352425</xdr:colOff>
      <xdr:row>4</xdr:row>
      <xdr:rowOff>123825</xdr:rowOff>
    </xdr:from>
    <xdr:to>
      <xdr:col>7</xdr:col>
      <xdr:colOff>532425</xdr:colOff>
      <xdr:row>4</xdr:row>
      <xdr:rowOff>303825</xdr:rowOff>
    </xdr:to>
    <xdr:sp macro="" textlink="">
      <xdr:nvSpPr>
        <xdr:cNvPr id="74" name="Elipse 73">
          <a:extLst>
            <a:ext uri="{FF2B5EF4-FFF2-40B4-BE49-F238E27FC236}">
              <a16:creationId xmlns:a16="http://schemas.microsoft.com/office/drawing/2014/main" id="{E9C9BEA9-922A-4FC2-9FAD-34C4749BA2BF}"/>
            </a:ext>
          </a:extLst>
        </xdr:cNvPr>
        <xdr:cNvSpPr/>
      </xdr:nvSpPr>
      <xdr:spPr>
        <a:xfrm>
          <a:off x="3400425" y="1162050"/>
          <a:ext cx="180000" cy="180000"/>
        </a:xfrm>
        <a:prstGeom prst="ellipse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209550</xdr:colOff>
      <xdr:row>5</xdr:row>
      <xdr:rowOff>47625</xdr:rowOff>
    </xdr:from>
    <xdr:to>
      <xdr:col>7</xdr:col>
      <xdr:colOff>677550</xdr:colOff>
      <xdr:row>5</xdr:row>
      <xdr:rowOff>407625</xdr:rowOff>
    </xdr:to>
    <xdr:grpSp>
      <xdr:nvGrpSpPr>
        <xdr:cNvPr id="75" name="Agrupar 74">
          <a:extLst>
            <a:ext uri="{FF2B5EF4-FFF2-40B4-BE49-F238E27FC236}">
              <a16:creationId xmlns:a16="http://schemas.microsoft.com/office/drawing/2014/main" id="{F0DEAF71-A11D-4D21-AEAE-B3CC8ABD3E5A}"/>
            </a:ext>
          </a:extLst>
        </xdr:cNvPr>
        <xdr:cNvGrpSpPr/>
      </xdr:nvGrpSpPr>
      <xdr:grpSpPr>
        <a:xfrm>
          <a:off x="4476750" y="1524000"/>
          <a:ext cx="468000" cy="360000"/>
          <a:chOff x="4076700" y="1209675"/>
          <a:chExt cx="468000" cy="360000"/>
        </a:xfrm>
      </xdr:grpSpPr>
      <xdr:sp macro="" textlink="">
        <xdr:nvSpPr>
          <xdr:cNvPr id="76" name="Triângulo isósceles 75">
            <a:extLst>
              <a:ext uri="{FF2B5EF4-FFF2-40B4-BE49-F238E27FC236}">
                <a16:creationId xmlns:a16="http://schemas.microsoft.com/office/drawing/2014/main" id="{93B72103-68D0-4123-80AC-361FB13C2E62}"/>
              </a:ext>
            </a:extLst>
          </xdr:cNvPr>
          <xdr:cNvSpPr/>
        </xdr:nvSpPr>
        <xdr:spPr>
          <a:xfrm flipV="1">
            <a:off x="4076700" y="1209675"/>
            <a:ext cx="468000" cy="360000"/>
          </a:xfrm>
          <a:prstGeom prst="triangle">
            <a:avLst/>
          </a:prstGeom>
          <a:solidFill>
            <a:srgbClr val="FF00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77" name="Triângulo isósceles 76">
            <a:extLst>
              <a:ext uri="{FF2B5EF4-FFF2-40B4-BE49-F238E27FC236}">
                <a16:creationId xmlns:a16="http://schemas.microsoft.com/office/drawing/2014/main" id="{9C3D2929-112C-4DD2-8E71-11201EFC13FF}"/>
              </a:ext>
            </a:extLst>
          </xdr:cNvPr>
          <xdr:cNvSpPr/>
        </xdr:nvSpPr>
        <xdr:spPr>
          <a:xfrm flipV="1">
            <a:off x="4190999" y="1276350"/>
            <a:ext cx="234000" cy="180000"/>
          </a:xfrm>
          <a:prstGeom prst="triangle">
            <a:avLst/>
          </a:prstGeom>
          <a:solidFill>
            <a:schemeClr val="bg1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7</xdr:col>
      <xdr:colOff>266700</xdr:colOff>
      <xdr:row>6</xdr:row>
      <xdr:rowOff>38100</xdr:rowOff>
    </xdr:from>
    <xdr:to>
      <xdr:col>7</xdr:col>
      <xdr:colOff>626700</xdr:colOff>
      <xdr:row>6</xdr:row>
      <xdr:rowOff>398100</xdr:rowOff>
    </xdr:to>
    <xdr:sp macro="" textlink="">
      <xdr:nvSpPr>
        <xdr:cNvPr id="78" name="Elipse 77">
          <a:extLst>
            <a:ext uri="{FF2B5EF4-FFF2-40B4-BE49-F238E27FC236}">
              <a16:creationId xmlns:a16="http://schemas.microsoft.com/office/drawing/2014/main" id="{97BB2F58-9203-4BD4-B0D1-01A4C1FC8F58}"/>
            </a:ext>
          </a:extLst>
        </xdr:cNvPr>
        <xdr:cNvSpPr/>
      </xdr:nvSpPr>
      <xdr:spPr>
        <a:xfrm>
          <a:off x="3314700" y="1952625"/>
          <a:ext cx="360000" cy="360000"/>
        </a:xfrm>
        <a:prstGeom prst="ellipse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7</xdr:col>
      <xdr:colOff>200025</xdr:colOff>
      <xdr:row>6</xdr:row>
      <xdr:rowOff>409575</xdr:rowOff>
    </xdr:from>
    <xdr:to>
      <xdr:col>7</xdr:col>
      <xdr:colOff>700525</xdr:colOff>
      <xdr:row>8</xdr:row>
      <xdr:rowOff>1275</xdr:rowOff>
    </xdr:to>
    <xdr:pic>
      <xdr:nvPicPr>
        <xdr:cNvPr id="79" name="Picture 19">
          <a:extLst>
            <a:ext uri="{FF2B5EF4-FFF2-40B4-BE49-F238E27FC236}">
              <a16:creationId xmlns:a16="http://schemas.microsoft.com/office/drawing/2014/main" id="{E010AB27-BD80-4440-B8E8-52DDF9A5ED3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lum bright="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047" t="-544" r="25074" b="36736"/>
        <a:stretch/>
      </xdr:blipFill>
      <xdr:spPr bwMode="auto">
        <a:xfrm>
          <a:off x="3248025" y="2324100"/>
          <a:ext cx="500500" cy="4680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 l="259" t="5014" r="2119" b="99"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7</xdr:col>
      <xdr:colOff>180975</xdr:colOff>
      <xdr:row>8</xdr:row>
      <xdr:rowOff>66675</xdr:rowOff>
    </xdr:from>
    <xdr:to>
      <xdr:col>7</xdr:col>
      <xdr:colOff>720975</xdr:colOff>
      <xdr:row>8</xdr:row>
      <xdr:rowOff>357057</xdr:rowOff>
    </xdr:to>
    <xdr:grpSp>
      <xdr:nvGrpSpPr>
        <xdr:cNvPr id="80" name="Agrupar 79">
          <a:extLst>
            <a:ext uri="{FF2B5EF4-FFF2-40B4-BE49-F238E27FC236}">
              <a16:creationId xmlns:a16="http://schemas.microsoft.com/office/drawing/2014/main" id="{926F0FC0-4717-4517-AB2F-7089353E0D46}"/>
            </a:ext>
          </a:extLst>
        </xdr:cNvPr>
        <xdr:cNvGrpSpPr/>
      </xdr:nvGrpSpPr>
      <xdr:grpSpPr>
        <a:xfrm>
          <a:off x="4448175" y="2857500"/>
          <a:ext cx="540000" cy="290382"/>
          <a:chOff x="4068364" y="2445543"/>
          <a:chExt cx="540000" cy="290382"/>
        </a:xfrm>
      </xdr:grpSpPr>
      <xdr:sp macro="" textlink="">
        <xdr:nvSpPr>
          <xdr:cNvPr id="81" name="Retângulo 80">
            <a:extLst>
              <a:ext uri="{FF2B5EF4-FFF2-40B4-BE49-F238E27FC236}">
                <a16:creationId xmlns:a16="http://schemas.microsoft.com/office/drawing/2014/main" id="{B6B102D4-CB0A-4790-B88A-7E2E4E55E332}"/>
              </a:ext>
            </a:extLst>
          </xdr:cNvPr>
          <xdr:cNvSpPr/>
        </xdr:nvSpPr>
        <xdr:spPr>
          <a:xfrm>
            <a:off x="4068364" y="2445543"/>
            <a:ext cx="540000" cy="290382"/>
          </a:xfrm>
          <a:prstGeom prst="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82" name="Losango 81">
            <a:extLst>
              <a:ext uri="{FF2B5EF4-FFF2-40B4-BE49-F238E27FC236}">
                <a16:creationId xmlns:a16="http://schemas.microsoft.com/office/drawing/2014/main" id="{BCBBDCDD-FBE1-46E6-AA91-B8EF0732BE3D}"/>
              </a:ext>
            </a:extLst>
          </xdr:cNvPr>
          <xdr:cNvSpPr/>
        </xdr:nvSpPr>
        <xdr:spPr>
          <a:xfrm>
            <a:off x="4086225" y="2447925"/>
            <a:ext cx="504000" cy="288000"/>
          </a:xfrm>
          <a:prstGeom prst="diamond">
            <a:avLst/>
          </a:prstGeom>
          <a:solidFill>
            <a:srgbClr val="FFFF00"/>
          </a:solidFill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7</xdr:col>
      <xdr:colOff>219075</xdr:colOff>
      <xdr:row>9</xdr:row>
      <xdr:rowOff>38100</xdr:rowOff>
    </xdr:from>
    <xdr:to>
      <xdr:col>7</xdr:col>
      <xdr:colOff>687075</xdr:colOff>
      <xdr:row>9</xdr:row>
      <xdr:rowOff>398100</xdr:rowOff>
    </xdr:to>
    <xdr:sp macro="" textlink="">
      <xdr:nvSpPr>
        <xdr:cNvPr id="85" name="Triângulo isósceles 84">
          <a:extLst>
            <a:ext uri="{FF2B5EF4-FFF2-40B4-BE49-F238E27FC236}">
              <a16:creationId xmlns:a16="http://schemas.microsoft.com/office/drawing/2014/main" id="{B9D0E6DB-BAB1-4F5C-BB98-D08380BC7BBF}"/>
            </a:ext>
          </a:extLst>
        </xdr:cNvPr>
        <xdr:cNvSpPr/>
      </xdr:nvSpPr>
      <xdr:spPr>
        <a:xfrm flipV="1">
          <a:off x="3267075" y="3267075"/>
          <a:ext cx="468000" cy="360000"/>
        </a:xfrm>
        <a:prstGeom prst="triangl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80B8A-F998-409A-888E-FFB298A9FD29}">
  <sheetPr codeName="Planilha1"/>
  <dimension ref="A1:P22"/>
  <sheetViews>
    <sheetView showGridLines="0" tabSelected="1" topLeftCell="A5" zoomScaleNormal="100" workbookViewId="0">
      <selection activeCell="H22" sqref="H22"/>
    </sheetView>
  </sheetViews>
  <sheetFormatPr defaultRowHeight="15" x14ac:dyDescent="0.25"/>
  <cols>
    <col min="8" max="13" width="13.7109375" customWidth="1"/>
    <col min="15" max="15" width="21.140625" bestFit="1" customWidth="1"/>
    <col min="16" max="16" width="9.5703125" bestFit="1" customWidth="1"/>
  </cols>
  <sheetData>
    <row r="1" spans="1:16" ht="15.75" thickBot="1" x14ac:dyDescent="0.3"/>
    <row r="2" spans="1:16" ht="15.75" thickBot="1" x14ac:dyDescent="0.3">
      <c r="H2" s="16" t="s">
        <v>19</v>
      </c>
      <c r="I2" s="17"/>
      <c r="J2" s="17"/>
      <c r="K2" s="17"/>
      <c r="L2" s="17"/>
      <c r="M2" s="39" t="s">
        <v>26</v>
      </c>
    </row>
    <row r="3" spans="1:16" ht="15.75" thickBot="1" x14ac:dyDescent="0.3">
      <c r="H3" s="18" t="s">
        <v>1</v>
      </c>
      <c r="I3" s="18" t="s">
        <v>0</v>
      </c>
      <c r="J3" s="18" t="s">
        <v>2</v>
      </c>
      <c r="K3" s="18" t="s">
        <v>13</v>
      </c>
      <c r="L3" s="19" t="s">
        <v>14</v>
      </c>
      <c r="M3" s="40"/>
    </row>
    <row r="4" spans="1:16" ht="34.5" customHeight="1" x14ac:dyDescent="0.25">
      <c r="H4" s="20"/>
      <c r="I4" s="21" t="s">
        <v>5</v>
      </c>
      <c r="J4" s="22" t="s">
        <v>3</v>
      </c>
      <c r="K4" s="23" t="s">
        <v>12</v>
      </c>
      <c r="L4" s="24">
        <v>0</v>
      </c>
      <c r="M4" s="25">
        <f>L4/(K12+L12)</f>
        <v>0</v>
      </c>
    </row>
    <row r="5" spans="1:16" ht="34.5" customHeight="1" thickBot="1" x14ac:dyDescent="0.3">
      <c r="A5" s="35" t="s">
        <v>24</v>
      </c>
      <c r="B5" s="35" t="s">
        <v>23</v>
      </c>
      <c r="C5" s="35" t="s">
        <v>20</v>
      </c>
      <c r="D5" s="35" t="s">
        <v>21</v>
      </c>
      <c r="E5" s="35" t="s">
        <v>22</v>
      </c>
      <c r="F5" s="36" t="s">
        <v>25</v>
      </c>
      <c r="H5" s="26"/>
      <c r="I5" s="2" t="s">
        <v>6</v>
      </c>
      <c r="J5" s="1" t="s">
        <v>3</v>
      </c>
      <c r="K5" s="2" t="s">
        <v>12</v>
      </c>
      <c r="L5" s="8">
        <v>6</v>
      </c>
      <c r="M5" s="27">
        <f>L5/(K12+L12)</f>
        <v>2.9487753490244219E-4</v>
      </c>
    </row>
    <row r="6" spans="1:16" ht="34.5" customHeight="1" x14ac:dyDescent="0.25">
      <c r="A6" s="35">
        <v>13</v>
      </c>
      <c r="B6" s="35">
        <v>18</v>
      </c>
      <c r="C6" s="35">
        <v>2</v>
      </c>
      <c r="D6" s="35">
        <f>A6*24*60+B6*60</f>
        <v>19800</v>
      </c>
      <c r="E6" s="35"/>
      <c r="F6" s="34">
        <v>32</v>
      </c>
      <c r="H6" s="26"/>
      <c r="I6" s="4" t="s">
        <v>7</v>
      </c>
      <c r="J6" s="1" t="s">
        <v>3</v>
      </c>
      <c r="K6" s="2" t="s">
        <v>12</v>
      </c>
      <c r="L6" s="8">
        <v>19980</v>
      </c>
      <c r="M6" s="27">
        <f>L6/(K12+L12)</f>
        <v>0.9819421912251326</v>
      </c>
      <c r="O6" s="10" t="s">
        <v>16</v>
      </c>
      <c r="P6" s="11">
        <f>SUM(K12:L12)</f>
        <v>20347.43</v>
      </c>
    </row>
    <row r="7" spans="1:16" ht="34.5" customHeight="1" x14ac:dyDescent="0.25">
      <c r="A7" s="35"/>
      <c r="B7" s="35">
        <v>5</v>
      </c>
      <c r="C7" s="35">
        <v>2</v>
      </c>
      <c r="D7" s="35"/>
      <c r="E7" s="35">
        <f>B7*60</f>
        <v>300</v>
      </c>
      <c r="F7" s="34">
        <v>24</v>
      </c>
      <c r="H7" s="26"/>
      <c r="I7" s="2" t="s">
        <v>8</v>
      </c>
      <c r="J7" s="3" t="s">
        <v>4</v>
      </c>
      <c r="K7" s="2">
        <v>1.43</v>
      </c>
      <c r="L7" s="8" t="s">
        <v>12</v>
      </c>
      <c r="M7" s="38">
        <f>K7/(K12+L12)</f>
        <v>7.0279145818415389E-5</v>
      </c>
      <c r="O7" s="12" t="s">
        <v>17</v>
      </c>
      <c r="P7" s="13">
        <f>P6/60</f>
        <v>339.12383333333332</v>
      </c>
    </row>
    <row r="8" spans="1:16" ht="34.5" customHeight="1" thickBot="1" x14ac:dyDescent="0.3">
      <c r="A8" s="35"/>
      <c r="B8" s="35">
        <v>3</v>
      </c>
      <c r="C8" s="35">
        <v>2</v>
      </c>
      <c r="D8" s="35">
        <f>B8*60</f>
        <v>180</v>
      </c>
      <c r="E8" s="35"/>
      <c r="F8" s="34">
        <v>18</v>
      </c>
      <c r="H8" s="26"/>
      <c r="I8" s="4" t="s">
        <v>9</v>
      </c>
      <c r="J8" s="1" t="s">
        <v>3</v>
      </c>
      <c r="K8" s="2" t="s">
        <v>12</v>
      </c>
      <c r="L8" s="8">
        <v>360</v>
      </c>
      <c r="M8" s="27">
        <f>L8/(K12+L12)</f>
        <v>1.7692652094146534E-2</v>
      </c>
      <c r="O8" s="14" t="s">
        <v>18</v>
      </c>
      <c r="P8" s="15">
        <f>P7/24</f>
        <v>14.130159722222222</v>
      </c>
    </row>
    <row r="9" spans="1:16" ht="34.5" customHeight="1" x14ac:dyDescent="0.25">
      <c r="A9" s="35"/>
      <c r="B9" s="35">
        <v>1</v>
      </c>
      <c r="C9" s="35"/>
      <c r="D9" s="35"/>
      <c r="E9" s="35">
        <f>B9*60</f>
        <v>60</v>
      </c>
      <c r="F9" s="34">
        <v>4</v>
      </c>
      <c r="H9" s="26"/>
      <c r="I9" s="2" t="s">
        <v>10</v>
      </c>
      <c r="J9" s="1" t="s">
        <v>3</v>
      </c>
      <c r="K9" s="2" t="s">
        <v>12</v>
      </c>
      <c r="L9" s="8">
        <v>0</v>
      </c>
      <c r="M9" s="27">
        <f>L9/(K12+L12)</f>
        <v>0</v>
      </c>
    </row>
    <row r="10" spans="1:16" ht="34.5" customHeight="1" thickBot="1" x14ac:dyDescent="0.3">
      <c r="C10">
        <f t="shared" ref="C10:E10" si="0">SUM(C6:C9)</f>
        <v>6</v>
      </c>
      <c r="D10">
        <f t="shared" si="0"/>
        <v>19980</v>
      </c>
      <c r="E10">
        <f t="shared" si="0"/>
        <v>360</v>
      </c>
      <c r="F10" s="37">
        <v>4</v>
      </c>
      <c r="H10" s="28"/>
      <c r="I10" s="29" t="s">
        <v>11</v>
      </c>
      <c r="J10" s="30" t="s">
        <v>3</v>
      </c>
      <c r="K10" s="31" t="s">
        <v>12</v>
      </c>
      <c r="L10" s="32">
        <v>0</v>
      </c>
      <c r="M10" s="33">
        <f>L10/(K12+L12)</f>
        <v>0</v>
      </c>
    </row>
    <row r="11" spans="1:16" ht="15.75" thickBot="1" x14ac:dyDescent="0.3">
      <c r="F11" s="37">
        <v>4</v>
      </c>
    </row>
    <row r="12" spans="1:16" ht="15.75" thickBot="1" x14ac:dyDescent="0.3">
      <c r="F12">
        <f>SUM(F6:F11)</f>
        <v>86</v>
      </c>
      <c r="J12" s="5" t="s">
        <v>15</v>
      </c>
      <c r="K12" s="6">
        <f>SUM(K4:K10)</f>
        <v>1.43</v>
      </c>
      <c r="L12" s="7">
        <f>SUM(L4:L10)</f>
        <v>20346</v>
      </c>
      <c r="M12" s="9">
        <f>K12/L12</f>
        <v>7.0284085323896582E-5</v>
      </c>
    </row>
    <row r="13" spans="1:16" x14ac:dyDescent="0.25">
      <c r="F13">
        <f>F12/60</f>
        <v>1.4333333333333333</v>
      </c>
    </row>
    <row r="19" spans="6:6" x14ac:dyDescent="0.25">
      <c r="F19">
        <v>39</v>
      </c>
    </row>
    <row r="20" spans="6:6" x14ac:dyDescent="0.25">
      <c r="F20">
        <v>6</v>
      </c>
    </row>
    <row r="21" spans="6:6" x14ac:dyDescent="0.25">
      <c r="F21">
        <v>18</v>
      </c>
    </row>
    <row r="22" spans="6:6" x14ac:dyDescent="0.25">
      <c r="F22">
        <f>SUM(F19:F21)</f>
        <v>63</v>
      </c>
    </row>
  </sheetData>
  <mergeCells count="2">
    <mergeCell ref="H2:L2"/>
    <mergeCell ref="M2:M3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19835-3227-40EA-A639-1A413EE608D2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SHINGO - F3</vt:lpstr>
      <vt:lpstr>SHINGO - F4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Kichler Martins</dc:creator>
  <cp:lastModifiedBy>Alexandre Kichler Martins</cp:lastModifiedBy>
  <dcterms:created xsi:type="dcterms:W3CDTF">2022-04-07T18:29:59Z</dcterms:created>
  <dcterms:modified xsi:type="dcterms:W3CDTF">2024-05-22T11:03:24Z</dcterms:modified>
</cp:coreProperties>
</file>