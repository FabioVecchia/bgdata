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6 - ENGENHARIA DE PRODUÇÃO\01 - Projeto ToC\Documentos Importantes\"/>
    </mc:Choice>
  </mc:AlternateContent>
  <xr:revisionPtr revIDLastSave="0" documentId="13_ncr:1_{DA8E46AF-6430-4181-BC59-2E41674CC784}" xr6:coauthVersionLast="47" xr6:coauthVersionMax="47" xr10:uidLastSave="{00000000-0000-0000-0000-000000000000}"/>
  <bookViews>
    <workbookView xWindow="-120" yWindow="-120" windowWidth="24240" windowHeight="13140" xr2:uid="{CAF39353-289B-4820-B98B-79C8BDF4F6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15" i="1" s="1"/>
  <c r="F7" i="1"/>
  <c r="E14" i="1"/>
  <c r="E8" i="1"/>
  <c r="E7" i="1"/>
  <c r="F14" i="1"/>
  <c r="G2" i="1"/>
  <c r="E9" i="1" s="1"/>
  <c r="G14" i="1" l="1"/>
  <c r="G7" i="1"/>
  <c r="G9" i="1"/>
  <c r="G8" i="1"/>
  <c r="E15" i="1"/>
  <c r="G15" i="1" s="1"/>
</calcChain>
</file>

<file path=xl/sharedStrings.xml><?xml version="1.0" encoding="utf-8"?>
<sst xmlns="http://schemas.openxmlformats.org/spreadsheetml/2006/main" count="19" uniqueCount="14">
  <si>
    <t>DEMANDA DIA</t>
  </si>
  <si>
    <t>OPERADOR 1 (Rosca)</t>
  </si>
  <si>
    <t>OPERADOR 2 (Esfera)</t>
  </si>
  <si>
    <t>OPERADOR 3 (Rosca Macho)</t>
  </si>
  <si>
    <t>DEMANDA ROSCA MACHO</t>
  </si>
  <si>
    <t>Setup</t>
  </si>
  <si>
    <t>Operação c/ Irog</t>
  </si>
  <si>
    <t>Horas Utilizadas</t>
  </si>
  <si>
    <t>IROG</t>
  </si>
  <si>
    <t>ROSCA</t>
  </si>
  <si>
    <t>ESFERA</t>
  </si>
  <si>
    <t>MACHO</t>
  </si>
  <si>
    <t>Nº DE DE SETUPS POR DIA</t>
  </si>
  <si>
    <t>Tempo de 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</si>
</sst>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Operação Laminadoras c/ 3 Operadores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Planilha1!$E$6</c:f>
              <c:strCache>
                <c:ptCount val="1"/>
                <c:pt idx="0">
                  <c:v>Operação c/ Irog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Planilha1!$D$7:$D$9</c:f>
              <c:strCache>
                <c:ptCount val="3"/>
                <c:pt idx="0">
                  <c:v>OPERADOR 1 (Rosca)</c:v>
                </c:pt>
                <c:pt idx="1">
                  <c:v>OPERADOR 2 (Esfera)</c:v>
                </c:pt>
                <c:pt idx="2">
                  <c:v>OPERADOR 3 (Rosca Macho)</c:v>
                </c:pt>
              </c:strCache>
            </c:strRef>
          </c:cat>
          <c:val>
            <c:numRef>
              <c:f>Planilha1!$E$7:$E$9</c:f>
              <c:numCache>
                <c:formatCode>General</c:formatCode>
                <c:ptCount val="3"/>
                <c:pt idx="0">
                  <c:v>72857.142857142855</c:v>
                </c:pt>
                <c:pt idx="1">
                  <c:v>48571.428571428572</c:v>
                </c:pt>
                <c:pt idx="2">
                  <c:v>18214.285714285714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7-49E5-BFD0-92B95752C32A}"/>
            </c:ext>
          </c:extLst>
        </c:ser>
        <c:ser>
          <c:idx val="1"/>
          <c:order val="1"/>
          <c:tx>
            <c:strRef>
              <c:f>Planilha1!$F$6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Planilha1!$D$7:$D$9</c:f>
              <c:strCache>
                <c:ptCount val="3"/>
                <c:pt idx="0">
                  <c:v>OPERADOR 1 (Rosca)</c:v>
                </c:pt>
                <c:pt idx="1">
                  <c:v>OPERADOR 2 (Esfera)</c:v>
                </c:pt>
                <c:pt idx="2">
                  <c:v>OPERADOR 3 (Rosca Macho)</c:v>
                </c:pt>
              </c:strCache>
            </c:strRef>
          </c:cat>
          <c:val>
            <c:numRef>
              <c:f>Planilha1!$F$7:$F$9</c:f>
              <c:numCache>
                <c:formatCode>General</c:formatCode>
                <c:ptCount val="3"/>
                <c:pt idx="0">
                  <c:v>7200</c:v>
                </c:pt>
                <c:pt idx="1">
                  <c:v>3600</c:v>
                </c:pt>
                <c:pt idx="2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7-49E5-BFD0-92B95752C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7291352"/>
        <c:axId val="317294304"/>
      </c:barChart>
      <c:catAx>
        <c:axId val="31729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294304"/>
        <c:crosses val="autoZero"/>
        <c:auto val="1"/>
        <c:lblAlgn val="ctr"/>
        <c:lblOffset val="100"/>
        <c:noMultiLvlLbl val="0"/>
      </c:catAx>
      <c:valAx>
        <c:axId val="31729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29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Operação Laminadoras c/ 2 Operadores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Planilha1!$E$6</c:f>
              <c:strCache>
                <c:ptCount val="1"/>
                <c:pt idx="0">
                  <c:v>Operação c/ Irog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Planilha1!$D$14:$D$15</c:f>
              <c:strCache>
                <c:ptCount val="2"/>
                <c:pt idx="0">
                  <c:v>OPERADOR 1 (Rosca)</c:v>
                </c:pt>
                <c:pt idx="1">
                  <c:v>OPERADOR 2 (Esfera)</c:v>
                </c:pt>
              </c:strCache>
            </c:strRef>
          </c:cat>
          <c:val>
            <c:numRef>
              <c:f>Planilha1!$E$14:$E$15</c:f>
              <c:numCache>
                <c:formatCode>General</c:formatCode>
                <c:ptCount val="2"/>
                <c:pt idx="0">
                  <c:v>72857.142857142855</c:v>
                </c:pt>
                <c:pt idx="1">
                  <c:v>66785.71428571429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0-424F-B324-10DCCCE59BAF}"/>
            </c:ext>
          </c:extLst>
        </c:ser>
        <c:ser>
          <c:idx val="1"/>
          <c:order val="1"/>
          <c:tx>
            <c:strRef>
              <c:f>Planilha1!$F$6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Planilha1!$D$14:$D$15</c:f>
              <c:strCache>
                <c:ptCount val="2"/>
                <c:pt idx="0">
                  <c:v>OPERADOR 1 (Rosca)</c:v>
                </c:pt>
                <c:pt idx="1">
                  <c:v>OPERADOR 2 (Esfera)</c:v>
                </c:pt>
              </c:strCache>
            </c:strRef>
          </c:cat>
          <c:val>
            <c:numRef>
              <c:f>Planilha1!$F$14:$F$15</c:f>
              <c:numCache>
                <c:formatCode>General</c:formatCode>
                <c:ptCount val="2"/>
                <c:pt idx="0">
                  <c:v>7200</c:v>
                </c:pt>
                <c:pt idx="1">
                  <c:v>11700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0-424F-B324-10DCCCE59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17291352"/>
        <c:axId val="317294304"/>
      </c:barChart>
      <c:catAx>
        <c:axId val="31729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294304"/>
        <c:crosses val="autoZero"/>
        <c:auto val="1"/>
        <c:lblAlgn val="ctr"/>
        <c:lblOffset val="100"/>
        <c:noMultiLvlLbl val="0"/>
      </c:catAx>
      <c:valAx>
        <c:axId val="31729430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29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0</xdr:row>
      <xdr:rowOff>100012</xdr:rowOff>
    </xdr:from>
    <xdr:to>
      <xdr:col>16</xdr:col>
      <xdr:colOff>219075</xdr:colOff>
      <xdr:row>14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C8A42C-0E56-8273-B44D-D9E066918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15</xdr:row>
      <xdr:rowOff>38100</xdr:rowOff>
    </xdr:from>
    <xdr:to>
      <xdr:col>16</xdr:col>
      <xdr:colOff>200025</xdr:colOff>
      <xdr:row>29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D2FB2F-DDA3-4AC5-AF67-9ADE1CCDF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A0E7-C87F-4C5C-A8E7-4645D2127635}">
  <dimension ref="A1:G16"/>
  <sheetViews>
    <sheetView showGridLines="0" tabSelected="1" workbookViewId="0">
      <selection activeCell="E1" sqref="E1"/>
    </sheetView>
  </sheetViews>
  <sheetFormatPr defaultRowHeight="15" x14ac:dyDescent="0.25"/>
  <cols>
    <col min="4" max="4" width="26" bestFit="1" customWidth="1"/>
    <col min="5" max="5" width="15.5703125" bestFit="1" customWidth="1"/>
    <col min="6" max="6" width="24.42578125" bestFit="1" customWidth="1"/>
  </cols>
  <sheetData>
    <row r="1" spans="1:7" ht="15.75" thickBot="1" x14ac:dyDescent="0.3">
      <c r="A1" t="s">
        <v>8</v>
      </c>
      <c r="B1" s="2">
        <v>0.7</v>
      </c>
      <c r="D1" t="s">
        <v>12</v>
      </c>
      <c r="E1" s="4">
        <v>3</v>
      </c>
      <c r="F1" t="s">
        <v>0</v>
      </c>
      <c r="G1">
        <v>8500</v>
      </c>
    </row>
    <row r="2" spans="1:7" ht="15.75" thickBot="1" x14ac:dyDescent="0.3">
      <c r="A2" s="7" t="s">
        <v>13</v>
      </c>
      <c r="B2" s="8"/>
      <c r="E2" s="1"/>
      <c r="F2" t="s">
        <v>4</v>
      </c>
      <c r="G2">
        <f>G1*0.15</f>
        <v>1275</v>
      </c>
    </row>
    <row r="3" spans="1:7" x14ac:dyDescent="0.25">
      <c r="A3" s="6" t="s">
        <v>9</v>
      </c>
      <c r="B3" s="6">
        <v>6</v>
      </c>
    </row>
    <row r="4" spans="1:7" x14ac:dyDescent="0.25">
      <c r="A4" s="5" t="s">
        <v>10</v>
      </c>
      <c r="B4" s="5">
        <v>4</v>
      </c>
    </row>
    <row r="5" spans="1:7" x14ac:dyDescent="0.25">
      <c r="A5" s="5" t="s">
        <v>11</v>
      </c>
      <c r="B5" s="5">
        <v>10</v>
      </c>
    </row>
    <row r="6" spans="1:7" x14ac:dyDescent="0.25">
      <c r="E6" s="1" t="s">
        <v>6</v>
      </c>
      <c r="F6" s="1" t="s">
        <v>5</v>
      </c>
      <c r="G6" t="s">
        <v>7</v>
      </c>
    </row>
    <row r="7" spans="1:7" x14ac:dyDescent="0.25">
      <c r="D7" t="s">
        <v>1</v>
      </c>
      <c r="E7" s="1">
        <f>G1*(B3/B1)</f>
        <v>72857.142857142855</v>
      </c>
      <c r="F7" s="3">
        <f>2400*E1</f>
        <v>7200</v>
      </c>
      <c r="G7">
        <f>(E7+F7)/3600</f>
        <v>22.238095238095237</v>
      </c>
    </row>
    <row r="8" spans="1:7" x14ac:dyDescent="0.25">
      <c r="D8" t="s">
        <v>2</v>
      </c>
      <c r="E8" s="1">
        <f>G1*(B4/B1)</f>
        <v>48571.428571428572</v>
      </c>
      <c r="F8" s="3">
        <f>1200*E1</f>
        <v>3600</v>
      </c>
      <c r="G8">
        <f t="shared" ref="G8:G9" si="0">(E8+F8)/3600</f>
        <v>14.492063492063492</v>
      </c>
    </row>
    <row r="9" spans="1:7" x14ac:dyDescent="0.25">
      <c r="D9" t="s">
        <v>3</v>
      </c>
      <c r="E9" s="1">
        <f>G2*(B5/B1)</f>
        <v>18214.285714285714</v>
      </c>
      <c r="F9" s="3">
        <f>E1*2700</f>
        <v>8100</v>
      </c>
      <c r="G9">
        <f t="shared" si="0"/>
        <v>7.3095238095238093</v>
      </c>
    </row>
    <row r="13" spans="1:7" x14ac:dyDescent="0.25">
      <c r="E13" s="1" t="s">
        <v>6</v>
      </c>
      <c r="F13" s="1" t="s">
        <v>5</v>
      </c>
      <c r="G13" t="s">
        <v>7</v>
      </c>
    </row>
    <row r="14" spans="1:7" x14ac:dyDescent="0.25">
      <c r="D14" t="s">
        <v>1</v>
      </c>
      <c r="E14" s="1">
        <f>G1*(B3/B1)</f>
        <v>72857.142857142855</v>
      </c>
      <c r="F14" s="1">
        <f>F7</f>
        <v>7200</v>
      </c>
      <c r="G14">
        <f>(E14+F14)/3600</f>
        <v>22.238095238095237</v>
      </c>
    </row>
    <row r="15" spans="1:7" x14ac:dyDescent="0.25">
      <c r="D15" t="s">
        <v>2</v>
      </c>
      <c r="E15" s="1">
        <f>SUM(E8:E9)</f>
        <v>66785.71428571429</v>
      </c>
      <c r="F15" s="1">
        <f>SUM(F8:F9)</f>
        <v>11700</v>
      </c>
      <c r="G15">
        <f t="shared" ref="G15:G16" si="1">(E15+F15)/3600</f>
        <v>21.801587301587304</v>
      </c>
    </row>
    <row r="16" spans="1:7" x14ac:dyDescent="0.25">
      <c r="E16" s="1"/>
      <c r="F16" s="1"/>
    </row>
  </sheetData>
  <phoneticPr fontId="1" type="noConversion"/>
  <conditionalFormatting sqref="G7:G9">
    <cfRule type="cellIs" dxfId="2" priority="4" operator="greaterThan">
      <formula>24</formula>
    </cfRule>
    <cfRule type="cellIs" dxfId="3" priority="3" operator="lessThan">
      <formula>24</formula>
    </cfRule>
  </conditionalFormatting>
  <conditionalFormatting sqref="G14:G15">
    <cfRule type="cellIs" dxfId="0" priority="1" operator="lessThan">
      <formula>24</formula>
    </cfRule>
    <cfRule type="cellIs" dxfId="1" priority="2" operator="greaterThan">
      <formula>24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Conto Rodrigues</dc:creator>
  <cp:lastModifiedBy>Matheus de Conto Rodrigues</cp:lastModifiedBy>
  <dcterms:created xsi:type="dcterms:W3CDTF">2022-12-16T12:30:39Z</dcterms:created>
  <dcterms:modified xsi:type="dcterms:W3CDTF">2022-12-16T13:44:30Z</dcterms:modified>
</cp:coreProperties>
</file>