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filterPrivacy="1" autoCompressPictures="0"/>
  <xr:revisionPtr revIDLastSave="0" documentId="13_ncr:1_{A44BC81E-2B63-4464-8429-CE28B9E03DFD}" xr6:coauthVersionLast="47" xr6:coauthVersionMax="47" xr10:uidLastSave="{00000000-0000-0000-0000-000000000000}"/>
  <bookViews>
    <workbookView xWindow="0" yWindow="630" windowWidth="20490" windowHeight="10290" activeTab="3" xr2:uid="{00000000-000D-0000-FFFF-FFFF00000000}"/>
  </bookViews>
  <sheets>
    <sheet name="Premissas" sheetId="2" r:id="rId1"/>
    <sheet name="Valores" sheetId="3" r:id="rId2"/>
    <sheet name="Prazos" sheetId="1" r:id="rId3"/>
    <sheet name="Planilha1" sheetId="4" r:id="rId4"/>
  </sheets>
  <definedNames>
    <definedName name="PercentualConcluído">PercentualConcluídoAlém*PeríodonoPlano</definedName>
    <definedName name="PercentualConcluídoAlém">(Prazos!A$4=MEDIAN(Prazos!A$4,Prazos!$E1,Prazos!$E1+Prazos!$F1)*(Prazos!$E1&gt;0))*((Prazos!A$4&lt;(INT(Prazos!$E1+Prazos!$F1*Prazos!$G1)))+(Prazos!A$4=Prazos!$E1))*(Prazos!$G1&gt;0)</definedName>
    <definedName name="período_selecionado">Prazos!$H$2</definedName>
    <definedName name="PeríodonoPlano">Prazos!A$4=MEDIAN(Prazos!A$4,Prazos!$C1,Prazos!$C1+Prazos!$D1-1)</definedName>
    <definedName name="PeríodoReal">Prazos!A$4=MEDIAN(Prazos!A$4,Prazos!$E1,Prazos!$E1+Prazos!$F1-1)</definedName>
    <definedName name="Plano">PeríodonoPlano*(Prazos!$C1&gt;0)</definedName>
    <definedName name="Real">(PeríodoReal*(Prazos!$E1&gt;0))*PeríodonoPlano</definedName>
    <definedName name="RealAlém">PeríodoReal*(Prazos!$E1&gt;0)</definedName>
    <definedName name="RegiãodoTítulo..BO60">Prazos!$B$3:$B$4</definedName>
    <definedName name="_xlnm.Print_Titles" localSheetId="2">Prazos!$3:$4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4" i="4" l="1"/>
  <c r="E11" i="4"/>
  <c r="I69" i="3"/>
  <c r="G69" i="3"/>
  <c r="I68" i="3"/>
  <c r="G68" i="3"/>
  <c r="I67" i="3"/>
  <c r="G67" i="3"/>
  <c r="I66" i="3"/>
  <c r="G66" i="3"/>
  <c r="H65" i="3"/>
  <c r="I65" i="3" s="1"/>
  <c r="H49" i="3"/>
  <c r="G49" i="3"/>
  <c r="F65" i="3" s="1"/>
  <c r="G65" i="3" s="1"/>
  <c r="O41" i="3"/>
  <c r="O39" i="3"/>
  <c r="O38" i="3"/>
  <c r="G25" i="3"/>
  <c r="G24" i="3"/>
  <c r="G23" i="3"/>
  <c r="G22" i="3"/>
  <c r="G26" i="3" s="1"/>
  <c r="G16" i="3"/>
  <c r="G15" i="3"/>
  <c r="G14" i="3"/>
  <c r="G13" i="3"/>
  <c r="G17" i="3" s="1"/>
  <c r="I64" i="3" l="1"/>
  <c r="G64" i="3"/>
  <c r="G63" i="3"/>
  <c r="I63" i="3"/>
  <c r="F41" i="3"/>
  <c r="F33" i="3" s="1"/>
  <c r="G33" i="3" s="1"/>
  <c r="I70" i="3" l="1"/>
  <c r="H71" i="3" s="1"/>
  <c r="G70" i="3"/>
  <c r="F71" i="3"/>
  <c r="F72" i="3" l="1"/>
</calcChain>
</file>

<file path=xl/sharedStrings.xml><?xml version="1.0" encoding="utf-8"?>
<sst xmlns="http://schemas.openxmlformats.org/spreadsheetml/2006/main" count="282" uniqueCount="197">
  <si>
    <t>ATIVIDADE</t>
  </si>
  <si>
    <t>INÍCIO DO PLANO</t>
  </si>
  <si>
    <t>DURAÇÃO DO PLANO</t>
  </si>
  <si>
    <t>INÍCIO REAL</t>
  </si>
  <si>
    <t>DURAÇÃO REAL</t>
  </si>
  <si>
    <t xml:space="preserve"> Realce do Período:</t>
  </si>
  <si>
    <t>PORCENTAGEM CONCLUÍDA</t>
  </si>
  <si>
    <t>PERÍODOS</t>
  </si>
  <si>
    <t>Duração do Plano</t>
  </si>
  <si>
    <t>Início Real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</si>
  <si>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concluída</t>
    </r>
  </si>
  <si>
    <r>
      <rPr>
        <sz val="12"/>
        <color theme="1" tint="0.24994659260841701"/>
        <rFont val="Calibri"/>
        <family val="2"/>
      </rPr>
      <t>Real (além do plano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</si>
  <si>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Concluída (além do planejado)</t>
    </r>
  </si>
  <si>
    <t>Premissas de orçamentação, cronograma e de escolha das linhas de lote piloto</t>
  </si>
  <si>
    <t>1 - Escolheu-se as linhas 10 e 40 para lote piloto em função das mesmas não necessitarem movimentação nas maquinas de caixas e as equiptops somente seriam viradas</t>
  </si>
  <si>
    <t>2 - Considerou-se para efeito do orçamento o menor tempo de parada da linha. Por este motivo 4 ligações elétricas e 4 pneumática serão novas pneumáticas serão que ser novas</t>
  </si>
  <si>
    <t>3 - Considerou-se que o lay out terá das linhas pilotos não sofreá grandes alterações após sua validação com a produção</t>
  </si>
  <si>
    <t xml:space="preserve">4 - Considrou-se o conceito de linha ao invés de célula em função das organização atual dos equipamentos e </t>
  </si>
  <si>
    <t>5 - Não foram consideradas nesta propostas visões do futuro lay out oficial das linhas em função do menos custo de implantação possível (a entrada ideal deste fluxo é perpendicular ao fluxo proposto)</t>
  </si>
  <si>
    <t>6 -  Considerado lotes de 450 (metade do lote do teste feito em julho) peças em função de minimizar o lead time</t>
  </si>
  <si>
    <t>7 - Nr de paletes na entrada da linha 2 e na saída também 2 para linha 10 e 40</t>
  </si>
  <si>
    <t>8 - Considerando 1 dia para processo fluxo abaixo na linha (laminação) e um dia de proteção no gargalo (menos dois paletes já de entrada da linha)</t>
  </si>
  <si>
    <t>9 - Linha 10 Considerado 113 pçs/hora, Linha 40 considerado 80 pçs/hora à 75% de IROG no gargalo</t>
  </si>
  <si>
    <t>10 - Máquinas da linha 20 serão agora máquinas da linha 10</t>
  </si>
  <si>
    <t xml:space="preserve">    </t>
  </si>
  <si>
    <t>tipo</t>
  </si>
  <si>
    <t>medidas</t>
  </si>
  <si>
    <t>preço</t>
  </si>
  <si>
    <t>marca</t>
  </si>
  <si>
    <t>fornecedor</t>
  </si>
  <si>
    <t>orçamento</t>
  </si>
  <si>
    <t xml:space="preserve">data </t>
  </si>
  <si>
    <t>cantoneira</t>
  </si>
  <si>
    <t>2" x 1/4 x 6m</t>
  </si>
  <si>
    <t>arcelor mital</t>
  </si>
  <si>
    <t>https://loja.arcelormittal.com.br/cantoneira-2-x-1-4-nbr-7007-mr-250-6-metros/p</t>
  </si>
  <si>
    <t>Rodízio Giratório</t>
  </si>
  <si>
    <t>PU 100mm para até 300Kg - SCHIOPPA-GL414-PE</t>
  </si>
  <si>
    <t>Schioppa</t>
  </si>
  <si>
    <t>Loja do mecânico</t>
  </si>
  <si>
    <t>https://www.lojadomecanico.com.br/produto/139312/42/492/Rodizio-Giratorio-PU-100mm-para-ate-300Kg/153/?utm_source=googleshopping&amp;utm_campaign=xmlshopping&amp;utm_medium=cpc&amp;utm_content=139312&amp;gclid=Cj0KCQjw1bqZBhDXARIsANTjCPINOqhsl4mdZmeq54-tG60ANocNFzQmHbnFhBtRr9UgiTSKB1TrFdUaAhDgEALw_wcB</t>
  </si>
  <si>
    <t xml:space="preserve">Tubo </t>
  </si>
  <si>
    <t>40mm X 40mm X 3,00mm X 6m</t>
  </si>
  <si>
    <t>https://loja.arcelormittal.com.br/tubo-industrial--6591-40-x-40-x-3-00-x-6-metros/p</t>
  </si>
  <si>
    <t>trilho roletado flow rack</t>
  </si>
  <si>
    <t>carga 65Kg/m x  3 m</t>
  </si>
  <si>
    <t>PIC</t>
  </si>
  <si>
    <t>IPC</t>
  </si>
  <si>
    <t>https://www.ipccomercial.com.br/trilho-roletado-flow-rack/trilho-65/trilho-roletado-para-65-kg-3-00-metro--p</t>
  </si>
  <si>
    <t>CAIXA PINO</t>
  </si>
  <si>
    <t>BIN NR3 AZUL</t>
  </si>
  <si>
    <t>desconhecido</t>
  </si>
  <si>
    <t>CCP</t>
  </si>
  <si>
    <t>https://www.ccpvirtual.com.br/gavetas-para-estante-azul-ni03/p?idsku=58385&amp;gclid=Cj0KCQjw1bqZBhDXARIsANTjCPKoZ28_N0F4Tnvobj3QhlTIwZB2FfPrmedYGxNdb9ZNHic4lJHOEA8aAjDDEALw_wcB</t>
  </si>
  <si>
    <t>Tubo PVC</t>
  </si>
  <si>
    <t>150mm  6 m</t>
  </si>
  <si>
    <t>Amanco</t>
  </si>
  <si>
    <t>Superproatacado</t>
  </si>
  <si>
    <t>https://www.superproatacado.com.br/6610/tubo-esgoto-amanco-150mm-6m?gclid=Cj0KCQjw1bqZBhDXARIsANTjCPJVaJs0oYbG8SrLU07RsxO5j4du6YHCg1iQFES66HxP67z1BMru2lcaAhQCEALw_wcB</t>
  </si>
  <si>
    <t>trilho instrustrial roletado Viemar de  3 m</t>
  </si>
  <si>
    <t>material necessario</t>
  </si>
  <si>
    <t>QTD</t>
  </si>
  <si>
    <t>Valor</t>
  </si>
  <si>
    <t>total MP</t>
  </si>
  <si>
    <t>MO (Sr Paulo Interna)</t>
  </si>
  <si>
    <t>-</t>
  </si>
  <si>
    <t>trilho instrustrial roletado Viemar de  4 m</t>
  </si>
  <si>
    <t>peso por metro no trilho</t>
  </si>
  <si>
    <t>15 Kg por caixa</t>
  </si>
  <si>
    <t>18 kits por caixa</t>
  </si>
  <si>
    <t>KLTT 4314</t>
  </si>
  <si>
    <t>400 x 300 x 148 (E)</t>
  </si>
  <si>
    <t>Autonomia do space buffer 162 pçs (9cx x 18 casados)</t>
  </si>
  <si>
    <t>peso máximo por metro linear prejetado (45kg)</t>
  </si>
  <si>
    <t>Caixa PINOS</t>
  </si>
  <si>
    <t>BIN NR 3</t>
  </si>
  <si>
    <t>Estimativa de necessidade de recipiente para Pinos</t>
  </si>
  <si>
    <t>altura sem roda</t>
  </si>
  <si>
    <t>Altura com rodizios</t>
  </si>
  <si>
    <t>lote estimado</t>
  </si>
  <si>
    <t>450 pçs por lote/OP</t>
  </si>
  <si>
    <t xml:space="preserve">entrada </t>
  </si>
  <si>
    <t>0,72 m</t>
  </si>
  <si>
    <t>0,885 m</t>
  </si>
  <si>
    <t>Qtd por KLT</t>
  </si>
  <si>
    <t>18 pçs/ KLT</t>
  </si>
  <si>
    <t>saída</t>
  </si>
  <si>
    <t xml:space="preserve"> 0,65 m</t>
  </si>
  <si>
    <t xml:space="preserve"> 0,785 m</t>
  </si>
  <si>
    <t>Necessidade de caixas de PINOS</t>
  </si>
  <si>
    <t>25 Por lote/palete casado</t>
  </si>
  <si>
    <t>largura</t>
  </si>
  <si>
    <t>0,40 m</t>
  </si>
  <si>
    <t>comprimento</t>
  </si>
  <si>
    <t>3 m</t>
  </si>
  <si>
    <t>Linha 10</t>
  </si>
  <si>
    <t>Linha 40</t>
  </si>
  <si>
    <t>Time buffer</t>
  </si>
  <si>
    <t>espaço paletes na logistica (1 m²)</t>
  </si>
  <si>
    <t>3 (1350 pçs)</t>
  </si>
  <si>
    <t>2 (900pçs)</t>
  </si>
  <si>
    <t>espaço paletes na entrada da linha (1 m²)</t>
  </si>
  <si>
    <t>2 (900 pçs)</t>
  </si>
  <si>
    <t>Space Buffer</t>
  </si>
  <si>
    <t>espço trilho (nr de KLT)</t>
  </si>
  <si>
    <t>9 (162) pçs</t>
  </si>
  <si>
    <t>9 (162)pçs</t>
  </si>
  <si>
    <t>Buffer</t>
  </si>
  <si>
    <t xml:space="preserve">espaço palete na saída da linha/ entrada da laminação </t>
  </si>
  <si>
    <t>5 (2250 pçs)</t>
  </si>
  <si>
    <t>4 (1800 pçs)</t>
  </si>
  <si>
    <t>montagem</t>
  </si>
  <si>
    <t>Instalações</t>
  </si>
  <si>
    <t>Valor por máquina</t>
  </si>
  <si>
    <t>Orçamento</t>
  </si>
  <si>
    <t>Observação</t>
  </si>
  <si>
    <t>Elétrica</t>
  </si>
  <si>
    <t>Sem valores</t>
  </si>
  <si>
    <t>Manuteção</t>
  </si>
  <si>
    <t>Alexandre ver com Anderson da manuteção valores de MO. Depois passar para Lucimar estimar necessidade de material eletrico para ligação de cada equipamento (cabos e tudo mais) com esta lista da materiais levar para Thiago Queiroz orçar na urgência</t>
  </si>
  <si>
    <t>Pneumática</t>
  </si>
  <si>
    <t>PNX material e mão e obra</t>
  </si>
  <si>
    <t>Utilizado valores orçados para linha Axial (Orçamento de material e MO) (Vicente)</t>
  </si>
  <si>
    <t>Nivelamento Centro</t>
  </si>
  <si>
    <t>Allservice Caxias do Sul</t>
  </si>
  <si>
    <t>Confirmar valores com Anderson da Manutenção usando o Oliveira que é mais barato</t>
  </si>
  <si>
    <t>Nivelamento Tornos</t>
  </si>
  <si>
    <t>Ver valores com o Anderson usando a oliveira com Oliveira</t>
  </si>
  <si>
    <t>Movimentação</t>
  </si>
  <si>
    <t>Mantenção</t>
  </si>
  <si>
    <t>Verbalmente com Anderson pior cenário usando transexcede</t>
  </si>
  <si>
    <t>cofre elétrico (tornos)</t>
  </si>
  <si>
    <t>Thiago Queiroz (FlexMaster)</t>
  </si>
  <si>
    <t>Enviado por email orçamento (base para obra)</t>
  </si>
  <si>
    <t>Resumo de investimento</t>
  </si>
  <si>
    <t>Necessidade (QTD)</t>
  </si>
  <si>
    <t>Valor total</t>
  </si>
  <si>
    <t>Trilho Viemar roletado (3m)</t>
  </si>
  <si>
    <t>Caixa BIN NR3</t>
  </si>
  <si>
    <t>Instalação elétrica</t>
  </si>
  <si>
    <t>Instalação Pneumática</t>
  </si>
  <si>
    <t>Nivelamento</t>
  </si>
  <si>
    <t>Despesas adicionais (CC)</t>
  </si>
  <si>
    <t>Total por linha</t>
  </si>
  <si>
    <t>Investimento</t>
  </si>
  <si>
    <t>Piloto  Fluxo Familia Terminal de direção</t>
  </si>
  <si>
    <t>Validação lay out com lideranças (Marceli, L.Bos)</t>
  </si>
  <si>
    <t>Selecione um período para realçar à direita.  A seguir há uma legenda que descreve o gráfico. (Período em dias)</t>
  </si>
  <si>
    <t>Realizar alterações necessárias após validação</t>
  </si>
  <si>
    <t>Iniciar orçamentação com compras</t>
  </si>
  <si>
    <t>Aprovação CAPEX</t>
  </si>
  <si>
    <t>Chegada de materiais</t>
  </si>
  <si>
    <t>Final de semana</t>
  </si>
  <si>
    <t>Fazer CAPEX</t>
  </si>
  <si>
    <t>Fabricação de Trilhos roletados (1 unidades) Internamente 1 semana / trilho</t>
  </si>
  <si>
    <t>Instalar elétrica e pneumática para 2 equipamentos</t>
  </si>
  <si>
    <t>Virada Lay out  com nivelamento de máquinas</t>
  </si>
  <si>
    <t>Fazer SC a aprovação de OC de materiais e serviços</t>
  </si>
  <si>
    <t>Semana de tray out e ajustes</t>
  </si>
  <si>
    <t>Treinamento Operadores, logística e PCP</t>
  </si>
  <si>
    <t>Fechamento do piloto/avaliação de resultados e próximos passos</t>
  </si>
  <si>
    <t>Virada de roteiros e recursos equipamentosno tecnicon</t>
  </si>
  <si>
    <t>tubo e cantoneira</t>
  </si>
  <si>
    <t>SC</t>
  </si>
  <si>
    <t>OC</t>
  </si>
  <si>
    <t>Material elétrico</t>
  </si>
  <si>
    <t>MO elétrica</t>
  </si>
  <si>
    <t xml:space="preserve">Material pneumático </t>
  </si>
  <si>
    <t>MO pneumática</t>
  </si>
  <si>
    <t>Cofre</t>
  </si>
  <si>
    <t>TRANS EXCEDE TRANSPORTES EXCEDENTES LTDA</t>
  </si>
  <si>
    <t>OLIVEIRA MANUTENCAO E REPARACAO DE MAQUINAS INDUSTRIAIS LTDA</t>
  </si>
  <si>
    <t>REAL CENTER MATERIAIS E EQUIPAMENTOS ELETRICOS LTDA</t>
  </si>
  <si>
    <t>LEONIR DA SILVA MANUTENÇÃO</t>
  </si>
  <si>
    <t>PNEUMAX - COMERCIO DE EQUIPAMENTOS PNEUMÁTICOS PARA AUTOMAÇÃO</t>
  </si>
  <si>
    <t xml:space="preserve">Follow up recebimento da OC </t>
  </si>
  <si>
    <t>Data de entrega prevista</t>
  </si>
  <si>
    <t>Entregou em</t>
  </si>
  <si>
    <t>Valor OC</t>
  </si>
  <si>
    <t>Caixa BIN NR4</t>
  </si>
  <si>
    <t>FERRAMENTAS GERAIS COM. E IMP. S.A</t>
  </si>
  <si>
    <t>trilho TR40GP</t>
  </si>
  <si>
    <t>COFERCAN COME DE FERROS CANOENSE LTDA</t>
  </si>
  <si>
    <t>OBS</t>
  </si>
  <si>
    <t>R$2.238, 35 comprado junto com alteração da politriz de pistão</t>
  </si>
  <si>
    <t>FMC INDUSTRIA DE EQUIPAMENTOS ELETRICOS LTDA</t>
  </si>
  <si>
    <t>prazo de entrega 3 dias ( na proposta esta 20 dias)</t>
  </si>
  <si>
    <t>03/11 a fazer</t>
  </si>
  <si>
    <t>Na OC R$ 35,11 (Ajustado conforme nota ao recebimento do material- ver com compras)</t>
  </si>
  <si>
    <t>OC APROVADA</t>
  </si>
  <si>
    <t>APROVADA</t>
  </si>
  <si>
    <t>sem OC ainda</t>
  </si>
  <si>
    <t>Total c/ impostos</t>
  </si>
  <si>
    <t>Item</t>
  </si>
  <si>
    <t>Frete</t>
  </si>
  <si>
    <t>frete para barras e tubo</t>
  </si>
  <si>
    <t>Transexcede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</si>
</sst>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8" x14ac:knownFonts="1">
    <font>
      <sz val="11"/>
      <color theme="1" tint="0.24994659260841701"/>
      <name val="Corbel"/>
      <family val="2"/>
      <scheme val="major"/>
    </font>
    <font>
      <sz val="11"/>
      <color theme="1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24994659260841701"/>
      <name val="Arial"/>
      <family val="2"/>
    </font>
  </fonts>
  <fills count="12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2">
    <xf numFmtId="0" fontId="0" fillId="0" borderId="0" applyNumberFormat="0" applyFill="0" applyBorder="0" applyProtection="0">
      <alignment horizontal="center" vertical="center"/>
    </xf>
    <xf numFmtId="0" fontId="9" fillId="0" borderId="0" applyNumberFormat="0" applyFill="0" applyBorder="0" applyAlignment="0" applyProtection="0"/>
    <xf numFmtId="0" fontId="3" fillId="0" borderId="0" applyFill="0" applyBorder="0" applyProtection="0">
      <alignment horizontal="left" wrapText="1"/>
    </xf>
    <xf numFmtId="3" fontId="11" fillId="0" borderId="2" applyFill="0" applyProtection="0">
      <alignment horizontal="center"/>
    </xf>
    <xf numFmtId="0" fontId="11" fillId="0" borderId="0" applyFill="0" applyBorder="0" applyProtection="0">
      <alignment horizontal="center" wrapText="1"/>
    </xf>
    <xf numFmtId="0" fontId="2" fillId="0" borderId="0" applyNumberFormat="0" applyFill="0" applyBorder="0" applyProtection="0">
      <alignment horizontal="left" vertical="center"/>
    </xf>
    <xf numFmtId="9" fontId="4" fillId="0" borderId="0" applyFill="0" applyBorder="0" applyProtection="0">
      <alignment horizontal="center" vertical="center"/>
    </xf>
    <xf numFmtId="0" fontId="10" fillId="6" borderId="1" applyNumberFormat="0" applyProtection="0">
      <alignment horizontal="left" vertical="center"/>
    </xf>
    <xf numFmtId="0" fontId="9" fillId="0" borderId="0" applyNumberFormat="0" applyFill="0" applyBorder="0" applyProtection="0">
      <alignment vertical="center"/>
    </xf>
    <xf numFmtId="0" fontId="11" fillId="0" borderId="0" applyFill="0" applyProtection="0">
      <alignment vertical="center"/>
    </xf>
    <xf numFmtId="0" fontId="11" fillId="0" borderId="0" applyFill="0" applyProtection="0">
      <alignment horizontal="center" vertical="center" wrapText="1"/>
    </xf>
    <xf numFmtId="0" fontId="11" fillId="0" borderId="0" applyFill="0" applyProtection="0">
      <alignment horizontal="left"/>
    </xf>
    <xf numFmtId="0" fontId="13" fillId="0" borderId="0" applyNumberFormat="0" applyFill="0" applyBorder="0" applyProtection="0">
      <alignment vertical="center"/>
    </xf>
    <xf numFmtId="1" fontId="14" fillId="6" borderId="1">
      <alignment horizontal="center" vertical="center"/>
    </xf>
    <xf numFmtId="0" fontId="12" fillId="2" borderId="4" applyNumberFormat="0" applyFont="0" applyAlignment="0">
      <alignment horizontal="center"/>
    </xf>
    <xf numFmtId="0" fontId="12" fillId="3" borderId="3" applyNumberFormat="0" applyFont="0" applyAlignment="0">
      <alignment horizontal="center"/>
    </xf>
    <xf numFmtId="0" fontId="12" fillId="4" borderId="3" applyNumberFormat="0" applyFont="0" applyAlignment="0">
      <alignment horizontal="center"/>
    </xf>
    <xf numFmtId="0" fontId="12" fillId="5" borderId="3" applyNumberFormat="0" applyFont="0" applyAlignment="0">
      <alignment horizontal="center"/>
    </xf>
    <xf numFmtId="0" fontId="12" fillId="7" borderId="3" applyNumberFormat="0" applyFont="0" applyAlignment="0">
      <alignment horizontal="center"/>
    </xf>
    <xf numFmtId="0" fontId="1" fillId="0" borderId="0"/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1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3" fillId="0" borderId="0" xfId="2">
      <alignment horizontal="left" wrapText="1"/>
    </xf>
    <xf numFmtId="9" fontId="4" fillId="0" borderId="0" xfId="6">
      <alignment horizontal="center" vertical="center"/>
    </xf>
    <xf numFmtId="0" fontId="10" fillId="6" borderId="1" xfId="7">
      <alignment horizontal="left" vertical="center"/>
    </xf>
    <xf numFmtId="0" fontId="5" fillId="0" borderId="0" xfId="2" applyFont="1">
      <alignment horizontal="left" wrapText="1"/>
    </xf>
    <xf numFmtId="0" fontId="6" fillId="0" borderId="0" xfId="0" applyFont="1" applyAlignment="1">
      <alignment horizontal="center"/>
    </xf>
    <xf numFmtId="9" fontId="7" fillId="0" borderId="0" xfId="6" applyFont="1">
      <alignment horizontal="center" vertical="center"/>
    </xf>
    <xf numFmtId="0" fontId="11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9" fillId="0" borderId="0" xfId="1" applyAlignment="1">
      <alignment horizontal="center"/>
    </xf>
    <xf numFmtId="0" fontId="9" fillId="0" borderId="0" xfId="8">
      <alignment vertical="center"/>
    </xf>
    <xf numFmtId="1" fontId="14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1" fillId="0" borderId="0" xfId="11">
      <alignment horizontal="left"/>
    </xf>
    <xf numFmtId="0" fontId="13" fillId="0" borderId="0" xfId="12">
      <alignment vertical="center"/>
    </xf>
    <xf numFmtId="0" fontId="1" fillId="0" borderId="0" xfId="19"/>
    <xf numFmtId="164" fontId="1" fillId="0" borderId="0" xfId="19" applyNumberFormat="1"/>
    <xf numFmtId="14" fontId="1" fillId="0" borderId="0" xfId="19" applyNumberFormat="1"/>
    <xf numFmtId="0" fontId="1" fillId="0" borderId="8" xfId="19" applyBorder="1"/>
    <xf numFmtId="0" fontId="1" fillId="0" borderId="9" xfId="19" applyBorder="1"/>
    <xf numFmtId="0" fontId="1" fillId="0" borderId="10" xfId="19" applyBorder="1"/>
    <xf numFmtId="0" fontId="1" fillId="0" borderId="11" xfId="19" applyBorder="1"/>
    <xf numFmtId="0" fontId="1" fillId="0" borderId="12" xfId="19" applyBorder="1"/>
    <xf numFmtId="164" fontId="1" fillId="0" borderId="12" xfId="19" applyNumberFormat="1" applyBorder="1"/>
    <xf numFmtId="0" fontId="1" fillId="8" borderId="13" xfId="19" applyFill="1" applyBorder="1"/>
    <xf numFmtId="0" fontId="1" fillId="8" borderId="14" xfId="19" applyFill="1" applyBorder="1"/>
    <xf numFmtId="164" fontId="1" fillId="8" borderId="15" xfId="19" applyNumberFormat="1" applyFill="1" applyBorder="1"/>
    <xf numFmtId="0" fontId="1" fillId="0" borderId="16" xfId="19" applyBorder="1"/>
    <xf numFmtId="0" fontId="1" fillId="0" borderId="17" xfId="19" applyBorder="1"/>
    <xf numFmtId="0" fontId="1" fillId="0" borderId="0" xfId="19" applyAlignment="1">
      <alignment wrapText="1"/>
    </xf>
    <xf numFmtId="0" fontId="1" fillId="0" borderId="13" xfId="19" applyBorder="1"/>
    <xf numFmtId="0" fontId="1" fillId="0" borderId="14" xfId="19" applyBorder="1"/>
    <xf numFmtId="0" fontId="1" fillId="0" borderId="15" xfId="19" applyBorder="1"/>
    <xf numFmtId="0" fontId="15" fillId="0" borderId="0" xfId="19" applyFont="1"/>
    <xf numFmtId="164" fontId="15" fillId="0" borderId="0" xfId="19" applyNumberFormat="1" applyFont="1"/>
    <xf numFmtId="164" fontId="16" fillId="0" borderId="0" xfId="19" applyNumberFormat="1" applyFont="1"/>
    <xf numFmtId="0" fontId="16" fillId="0" borderId="0" xfId="19" applyFont="1"/>
    <xf numFmtId="0" fontId="1" fillId="8" borderId="18" xfId="19" applyFill="1" applyBorder="1" applyAlignment="1">
      <alignment horizontal="center"/>
    </xf>
    <xf numFmtId="0" fontId="1" fillId="0" borderId="18" xfId="19" applyBorder="1"/>
    <xf numFmtId="0" fontId="1" fillId="0" borderId="18" xfId="19" applyBorder="1" applyAlignment="1">
      <alignment horizontal="center"/>
    </xf>
    <xf numFmtId="164" fontId="1" fillId="0" borderId="18" xfId="19" applyNumberFormat="1" applyBorder="1" applyAlignment="1">
      <alignment horizontal="center"/>
    </xf>
    <xf numFmtId="44" fontId="0" fillId="0" borderId="18" xfId="20" applyFont="1" applyBorder="1" applyAlignment="1">
      <alignment horizontal="center"/>
    </xf>
    <xf numFmtId="0" fontId="0" fillId="0" borderId="18" xfId="20" applyNumberFormat="1" applyFont="1" applyBorder="1" applyAlignment="1">
      <alignment horizontal="center"/>
    </xf>
    <xf numFmtId="0" fontId="1" fillId="8" borderId="18" xfId="19" applyFill="1" applyBorder="1"/>
    <xf numFmtId="3" fontId="11" fillId="0" borderId="2" xfId="3" applyAlignment="1">
      <alignment horizontal="center" textRotation="90"/>
    </xf>
    <xf numFmtId="0" fontId="5" fillId="9" borderId="0" xfId="2" applyFont="1" applyFill="1">
      <alignment horizontal="left" wrapText="1"/>
    </xf>
    <xf numFmtId="0" fontId="6" fillId="9" borderId="0" xfId="0" applyFont="1" applyFill="1" applyAlignment="1">
      <alignment horizontal="center"/>
    </xf>
    <xf numFmtId="9" fontId="7" fillId="9" borderId="0" xfId="6" applyFont="1" applyFill="1">
      <alignment horizontal="center" vertical="center"/>
    </xf>
    <xf numFmtId="0" fontId="5" fillId="10" borderId="0" xfId="2" applyFont="1" applyFill="1">
      <alignment horizontal="left" wrapText="1"/>
    </xf>
    <xf numFmtId="0" fontId="6" fillId="10" borderId="0" xfId="0" applyFont="1" applyFill="1" applyAlignment="1">
      <alignment horizontal="center"/>
    </xf>
    <xf numFmtId="9" fontId="7" fillId="10" borderId="0" xfId="6" applyFont="1" applyFill="1">
      <alignment horizontal="center" vertical="center"/>
    </xf>
    <xf numFmtId="0" fontId="17" fillId="0" borderId="0" xfId="0" applyFont="1">
      <alignment horizontal="center" vertical="center"/>
    </xf>
    <xf numFmtId="0" fontId="17" fillId="0" borderId="0" xfId="0" applyFont="1" applyAlignment="1">
      <alignment horizontal="left" vertical="center"/>
    </xf>
    <xf numFmtId="44" fontId="17" fillId="0" borderId="0" xfId="21" applyFont="1" applyAlignment="1">
      <alignment horizontal="center" vertical="center"/>
    </xf>
    <xf numFmtId="0" fontId="17" fillId="9" borderId="0" xfId="0" applyFont="1" applyFill="1" applyAlignment="1">
      <alignment horizontal="left" vertical="center"/>
    </xf>
    <xf numFmtId="0" fontId="17" fillId="9" borderId="0" xfId="0" applyFont="1" applyFill="1">
      <alignment horizontal="center" vertical="center"/>
    </xf>
    <xf numFmtId="44" fontId="17" fillId="9" borderId="0" xfId="21" applyFont="1" applyFill="1" applyAlignment="1">
      <alignment horizontal="center" vertical="center"/>
    </xf>
    <xf numFmtId="44" fontId="17" fillId="0" borderId="0" xfId="0" applyNumberFormat="1" applyFont="1">
      <alignment horizontal="center" vertical="center"/>
    </xf>
    <xf numFmtId="0" fontId="17" fillId="0" borderId="0" xfId="0" applyFont="1" applyFill="1">
      <alignment horizontal="center" vertical="center"/>
    </xf>
    <xf numFmtId="0" fontId="17" fillId="11" borderId="19" xfId="0" applyFont="1" applyFill="1" applyBorder="1">
      <alignment horizontal="center" vertical="center"/>
    </xf>
    <xf numFmtId="164" fontId="1" fillId="8" borderId="18" xfId="19" applyNumberFormat="1" applyFill="1" applyBorder="1" applyAlignment="1">
      <alignment horizontal="center"/>
    </xf>
    <xf numFmtId="0" fontId="1" fillId="8" borderId="18" xfId="19" applyFill="1" applyBorder="1" applyAlignment="1">
      <alignment horizontal="center"/>
    </xf>
    <xf numFmtId="0" fontId="1" fillId="0" borderId="18" xfId="19" applyBorder="1" applyAlignment="1">
      <alignment horizontal="center" vertical="center"/>
    </xf>
    <xf numFmtId="0" fontId="11" fillId="0" borderId="0" xfId="9">
      <alignment vertical="center"/>
    </xf>
    <xf numFmtId="0" fontId="11" fillId="0" borderId="2" xfId="9" applyBorder="1">
      <alignment vertical="center"/>
    </xf>
    <xf numFmtId="0" fontId="11" fillId="0" borderId="0" xfId="10">
      <alignment horizontal="center" vertical="center" wrapText="1"/>
    </xf>
    <xf numFmtId="0" fontId="11" fillId="0" borderId="2" xfId="10" applyBorder="1">
      <alignment horizontal="center" vertical="center" wrapText="1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1" fillId="0" borderId="5" xfId="10" applyBorder="1">
      <alignment horizontal="center" vertical="center" wrapText="1"/>
    </xf>
    <xf numFmtId="0" fontId="8" fillId="0" borderId="6" xfId="5" applyFont="1" applyBorder="1">
      <alignment horizontal="left" vertical="center"/>
    </xf>
    <xf numFmtId="0" fontId="8" fillId="0" borderId="0" xfId="5" applyFont="1">
      <alignment horizontal="left" vertical="center"/>
    </xf>
    <xf numFmtId="0" fontId="8" fillId="0" borderId="7" xfId="5" applyFont="1" applyBorder="1">
      <alignment horizontal="left" vertical="center"/>
    </xf>
    <xf numFmtId="0" fontId="8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22">
    <cellStyle name="% concluída" xfId="16" xr:uid="{00000000-0005-0000-0000-000000000000}"/>
    <cellStyle name="Atividade" xfId="2" xr:uid="{00000000-0005-0000-0000-000002000000}"/>
    <cellStyle name="Cabeçalhos do Projeto" xfId="4" xr:uid="{00000000-0005-0000-0000-000011000000}"/>
    <cellStyle name="Controle de Realce do Período" xfId="7" xr:uid="{00000000-0005-0000-0000-00000E000000}"/>
    <cellStyle name="Legenda de % concluída (além de plano)" xfId="18" xr:uid="{00000000-0005-0000-0000-000001000000}"/>
    <cellStyle name="Legenda de Real" xfId="15" xr:uid="{00000000-0005-0000-0000-000004000000}"/>
    <cellStyle name="Legenda de Real (além de plano)" xfId="17" xr:uid="{00000000-0005-0000-0000-000003000000}"/>
    <cellStyle name="Legenda do plano" xfId="14" xr:uid="{00000000-0005-0000-0000-000010000000}"/>
    <cellStyle name="Moeda" xfId="21" builtinId="4"/>
    <cellStyle name="Moeda 2" xfId="20" xr:uid="{7D1F979B-B8EA-4647-B1FA-CB600B191D80}"/>
    <cellStyle name="Normal" xfId="0" builtinId="0" customBuiltin="1"/>
    <cellStyle name="Normal 2" xfId="19" xr:uid="{9D134D8B-682D-481C-ACF0-6C32499F0BE1}"/>
    <cellStyle name="Porcentagem concluída" xfId="6" xr:uid="{00000000-0005-0000-0000-00000C000000}"/>
    <cellStyle name="Rótulo" xfId="5" xr:uid="{00000000-0005-0000-0000-00000A000000}"/>
    <cellStyle name="Texto Explicativo" xfId="12" builtinId="53" customBuiltin="1"/>
    <cellStyle name="Título" xfId="8" builtinId="15" customBuiltin="1"/>
    <cellStyle name="Título 1" xfId="1" builtinId="16" customBuiltin="1"/>
    <cellStyle name="Título 2" xfId="9" builtinId="17" customBuiltin="1"/>
    <cellStyle name="Título 3" xfId="10" builtinId="18" customBuiltin="1"/>
    <cellStyle name="Título 4" xfId="11" builtinId="19" customBuiltin="1"/>
    <cellStyle name="Títulos de Períodos" xfId="3" xr:uid="{00000000-0005-0000-0000-00000D000000}"/>
    <cellStyle name="Valor do Período" xfId="13" xr:uid="{00000000-0005-0000-0000-00000F000000}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285750</xdr:colOff>
      <xdr:row>14</xdr:row>
      <xdr:rowOff>9525</xdr:rowOff>
    </xdr:from>
    <xdr:to>
      <xdr:col>10</xdr:col>
      <xdr:colOff>0</xdr:colOff>
      <xdr:row>40</xdr:row>
      <xdr:rowOff>304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BCAF1B-D0DF-4298-A8D8-28767E56F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2676525"/>
          <a:ext cx="6686550" cy="4943779"/>
        </a:xfrm>
        <a:prstGeom prst="rect">
          <a:avLst/>
        </a:prstGeom>
      </xdr:spPr>
    </xdr:pic>
    <xdr:clientData/>
  </xdr:twoCellAnchor>
  <xdr:twoCellAnchor>
    <xdr:from>
      <xdr:col>7</xdr:col>
      <xdr:colOff>228600</xdr:colOff>
      <xdr:row>15</xdr:row>
      <xdr:rowOff>85725</xdr:rowOff>
    </xdr:from>
    <xdr:to>
      <xdr:col>9</xdr:col>
      <xdr:colOff>295275</xdr:colOff>
      <xdr:row>17</xdr:row>
      <xdr:rowOff>28575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A297F74-2CC4-4A58-A2FE-0697097E5C30}"/>
            </a:ext>
          </a:extLst>
        </xdr:cNvPr>
        <xdr:cNvSpPr txBox="1"/>
      </xdr:nvSpPr>
      <xdr:spPr>
        <a:xfrm>
          <a:off x="6915150" y="2943225"/>
          <a:ext cx="1285875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rgbClr val="FF0000"/>
              </a:solidFill>
            </a:rPr>
            <a:t>LINHA 10</a:t>
          </a:r>
        </a:p>
      </xdr:txBody>
    </xdr:sp>
    <xdr:clientData/>
  </xdr:twoCellAnchor>
  <xdr:twoCellAnchor>
    <xdr:from>
      <xdr:col>7</xdr:col>
      <xdr:colOff>266700</xdr:colOff>
      <xdr:row>28</xdr:row>
      <xdr:rowOff>57150</xdr:rowOff>
    </xdr:from>
    <xdr:to>
      <xdr:col>9</xdr:col>
      <xdr:colOff>333375</xdr:colOff>
      <xdr:row>30</xdr:row>
      <xdr:rowOff>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7A76755B-0527-49B6-9F38-73774EAFB42B}"/>
            </a:ext>
          </a:extLst>
        </xdr:cNvPr>
        <xdr:cNvSpPr txBox="1"/>
      </xdr:nvSpPr>
      <xdr:spPr>
        <a:xfrm>
          <a:off x="6953250" y="5391150"/>
          <a:ext cx="1285875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rgbClr val="FF0000"/>
              </a:solidFill>
            </a:rPr>
            <a:t>LINHA 40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352425</xdr:colOff>
      <xdr:row>29</xdr:row>
      <xdr:rowOff>0</xdr:rowOff>
    </xdr:from>
    <xdr:to>
      <xdr:col>8</xdr:col>
      <xdr:colOff>1038225</xdr:colOff>
      <xdr:row>34</xdr:row>
      <xdr:rowOff>38100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65F385A3-C54E-4028-9514-02586778EFDB}"/>
            </a:ext>
          </a:extLst>
        </xdr:cNvPr>
        <xdr:cNvSpPr/>
      </xdr:nvSpPr>
      <xdr:spPr>
        <a:xfrm>
          <a:off x="8086725" y="5562600"/>
          <a:ext cx="685800" cy="1009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9525</xdr:colOff>
      <xdr:row>29</xdr:row>
      <xdr:rowOff>0</xdr:rowOff>
    </xdr:from>
    <xdr:to>
      <xdr:col>9</xdr:col>
      <xdr:colOff>695325</xdr:colOff>
      <xdr:row>34</xdr:row>
      <xdr:rowOff>38100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92EC153-9432-464A-AF83-7DD8C183C7D8}"/>
            </a:ext>
          </a:extLst>
        </xdr:cNvPr>
        <xdr:cNvSpPr/>
      </xdr:nvSpPr>
      <xdr:spPr>
        <a:xfrm>
          <a:off x="8829675" y="5562600"/>
          <a:ext cx="685800" cy="1009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752475</xdr:colOff>
      <xdr:row>29</xdr:row>
      <xdr:rowOff>0</xdr:rowOff>
    </xdr:from>
    <xdr:to>
      <xdr:col>10</xdr:col>
      <xdr:colOff>628650</xdr:colOff>
      <xdr:row>34</xdr:row>
      <xdr:rowOff>38100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9253340-CAC4-4118-98EB-F175A568E06C}"/>
            </a:ext>
          </a:extLst>
        </xdr:cNvPr>
        <xdr:cNvSpPr/>
      </xdr:nvSpPr>
      <xdr:spPr>
        <a:xfrm>
          <a:off x="9572625" y="5562600"/>
          <a:ext cx="685800" cy="1009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685800</xdr:colOff>
      <xdr:row>29</xdr:row>
      <xdr:rowOff>0</xdr:rowOff>
    </xdr:from>
    <xdr:to>
      <xdr:col>12</xdr:col>
      <xdr:colOff>47625</xdr:colOff>
      <xdr:row>34</xdr:row>
      <xdr:rowOff>38100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E87257C9-12E2-4B2C-919B-E2EC1597678E}"/>
            </a:ext>
          </a:extLst>
        </xdr:cNvPr>
        <xdr:cNvSpPr/>
      </xdr:nvSpPr>
      <xdr:spPr>
        <a:xfrm>
          <a:off x="10315575" y="5562600"/>
          <a:ext cx="685800" cy="1009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95250</xdr:colOff>
      <xdr:row>29</xdr:row>
      <xdr:rowOff>0</xdr:rowOff>
    </xdr:from>
    <xdr:to>
      <xdr:col>13</xdr:col>
      <xdr:colOff>171450</xdr:colOff>
      <xdr:row>34</xdr:row>
      <xdr:rowOff>38100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88500E99-BE7B-4CBF-966C-16A3AB7DD799}"/>
            </a:ext>
          </a:extLst>
        </xdr:cNvPr>
        <xdr:cNvSpPr/>
      </xdr:nvSpPr>
      <xdr:spPr>
        <a:xfrm>
          <a:off x="11049000" y="5562600"/>
          <a:ext cx="685800" cy="1009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228600</xdr:colOff>
      <xdr:row>29</xdr:row>
      <xdr:rowOff>9525</xdr:rowOff>
    </xdr:from>
    <xdr:to>
      <xdr:col>14</xdr:col>
      <xdr:colOff>304800</xdr:colOff>
      <xdr:row>34</xdr:row>
      <xdr:rowOff>47625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F169D2B3-3121-4E39-8E04-1A0555110704}"/>
            </a:ext>
          </a:extLst>
        </xdr:cNvPr>
        <xdr:cNvSpPr/>
      </xdr:nvSpPr>
      <xdr:spPr>
        <a:xfrm>
          <a:off x="11791950" y="5572125"/>
          <a:ext cx="685800" cy="1009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352425</xdr:colOff>
      <xdr:row>29</xdr:row>
      <xdr:rowOff>9525</xdr:rowOff>
    </xdr:from>
    <xdr:to>
      <xdr:col>15</xdr:col>
      <xdr:colOff>428625</xdr:colOff>
      <xdr:row>34</xdr:row>
      <xdr:rowOff>47625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3F1D2C58-C983-4AE7-89D6-BACFBD08F008}"/>
            </a:ext>
          </a:extLst>
        </xdr:cNvPr>
        <xdr:cNvSpPr/>
      </xdr:nvSpPr>
      <xdr:spPr>
        <a:xfrm>
          <a:off x="12525375" y="5572125"/>
          <a:ext cx="685800" cy="1009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476250</xdr:colOff>
      <xdr:row>29</xdr:row>
      <xdr:rowOff>9525</xdr:rowOff>
    </xdr:from>
    <xdr:to>
      <xdr:col>16</xdr:col>
      <xdr:colOff>552450</xdr:colOff>
      <xdr:row>34</xdr:row>
      <xdr:rowOff>47625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5F5DD150-4BF5-4CEF-A1E1-D519E61AE0C9}"/>
            </a:ext>
          </a:extLst>
        </xdr:cNvPr>
        <xdr:cNvSpPr/>
      </xdr:nvSpPr>
      <xdr:spPr>
        <a:xfrm>
          <a:off x="13258800" y="5572125"/>
          <a:ext cx="685800" cy="1009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600075</xdr:colOff>
      <xdr:row>29</xdr:row>
      <xdr:rowOff>9525</xdr:rowOff>
    </xdr:from>
    <xdr:to>
      <xdr:col>18</xdr:col>
      <xdr:colOff>66675</xdr:colOff>
      <xdr:row>34</xdr:row>
      <xdr:rowOff>47625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50973F4A-BE7F-4B9C-9718-7DAF51F49A50}"/>
            </a:ext>
          </a:extLst>
        </xdr:cNvPr>
        <xdr:cNvSpPr/>
      </xdr:nvSpPr>
      <xdr:spPr>
        <a:xfrm>
          <a:off x="13992225" y="5572125"/>
          <a:ext cx="685800" cy="1009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EC26-C8E8-43A9-8745-E9484163EC44}">
  <dimension ref="B3:M17"/>
  <sheetViews>
    <sheetView workbookViewId="0">
      <selection activeCell="L16" sqref="L16"/>
    </sheetView>
  </sheetViews>
  <sheetFormatPr defaultRowHeight="15" x14ac:dyDescent="0.25"/>
  <cols>
    <col min="1" max="1" width="9" style="21"/>
    <col min="2" max="2" width="12.25" style="21" customWidth="1"/>
    <col min="3" max="3" width="33.75" style="21" bestFit="1" customWidth="1"/>
    <col min="4" max="4" width="9.75" style="21" bestFit="1" customWidth="1"/>
    <col min="5" max="16384" width="9" style="21"/>
  </cols>
  <sheetData>
    <row r="3" spans="2:2" x14ac:dyDescent="0.25">
      <c r="B3" s="21" t="s">
        <v>13</v>
      </c>
    </row>
    <row r="5" spans="2:2" x14ac:dyDescent="0.25">
      <c r="B5" s="21" t="s">
        <v>14</v>
      </c>
    </row>
    <row r="6" spans="2:2" x14ac:dyDescent="0.25">
      <c r="B6" s="21" t="s">
        <v>15</v>
      </c>
    </row>
    <row r="7" spans="2:2" x14ac:dyDescent="0.25">
      <c r="B7" s="21" t="s">
        <v>16</v>
      </c>
    </row>
    <row r="8" spans="2:2" x14ac:dyDescent="0.25">
      <c r="B8" s="21" t="s">
        <v>17</v>
      </c>
    </row>
    <row r="9" spans="2:2" x14ac:dyDescent="0.25">
      <c r="B9" s="21" t="s">
        <v>18</v>
      </c>
    </row>
    <row r="10" spans="2:2" x14ac:dyDescent="0.25">
      <c r="B10" s="21" t="s">
        <v>19</v>
      </c>
    </row>
    <row r="11" spans="2:2" x14ac:dyDescent="0.25">
      <c r="B11" s="21" t="s">
        <v>20</v>
      </c>
    </row>
    <row r="12" spans="2:2" x14ac:dyDescent="0.25">
      <c r="B12" s="21" t="s">
        <v>21</v>
      </c>
    </row>
    <row r="13" spans="2:2" x14ac:dyDescent="0.25">
      <c r="B13" s="21" t="s">
        <v>22</v>
      </c>
    </row>
    <row r="14" spans="2:2" x14ac:dyDescent="0.25">
      <c r="B14" s="21" t="s">
        <v>23</v>
      </c>
    </row>
    <row r="17" spans="13:13" x14ac:dyDescent="0.25">
      <c r="M17" s="21" t="s">
        <v>24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479D5-893B-42A6-AAB7-F87275D90306}">
  <dimension ref="E2:O72"/>
  <sheetViews>
    <sheetView workbookViewId="0">
      <selection activeCell="F53" sqref="F53"/>
    </sheetView>
  </sheetViews>
  <sheetFormatPr defaultRowHeight="15" x14ac:dyDescent="0.25"/>
  <cols>
    <col min="1" max="4" width="9" style="21"/>
    <col min="5" max="5" width="27" style="21" customWidth="1"/>
    <col min="6" max="6" width="15.75" style="21" customWidth="1"/>
    <col min="7" max="7" width="11.625" style="21" bestFit="1" customWidth="1"/>
    <col min="8" max="8" width="15.125" style="21" customWidth="1"/>
    <col min="9" max="9" width="14.25" style="21" bestFit="1" customWidth="1"/>
    <col min="10" max="10" width="10.625" style="21" customWidth="1"/>
    <col min="11" max="11" width="9.375" style="21" bestFit="1" customWidth="1"/>
    <col min="12" max="16384" width="9" style="21"/>
  </cols>
  <sheetData>
    <row r="2" spans="5:11" x14ac:dyDescent="0.25">
      <c r="E2" s="21" t="s">
        <v>25</v>
      </c>
      <c r="F2" s="21" t="s">
        <v>26</v>
      </c>
      <c r="G2" s="21" t="s">
        <v>27</v>
      </c>
      <c r="H2" s="21" t="s">
        <v>28</v>
      </c>
      <c r="I2" s="21" t="s">
        <v>29</v>
      </c>
      <c r="J2" s="21" t="s">
        <v>30</v>
      </c>
      <c r="K2" s="21" t="s">
        <v>31</v>
      </c>
    </row>
    <row r="3" spans="5:11" x14ac:dyDescent="0.25">
      <c r="E3" s="21" t="s">
        <v>32</v>
      </c>
      <c r="F3" s="21" t="s">
        <v>33</v>
      </c>
      <c r="G3" s="22">
        <v>224.51</v>
      </c>
      <c r="H3" s="21" t="s">
        <v>34</v>
      </c>
      <c r="I3" s="21" t="s">
        <v>34</v>
      </c>
      <c r="J3" s="21" t="s">
        <v>35</v>
      </c>
      <c r="K3" s="23">
        <v>44828</v>
      </c>
    </row>
    <row r="4" spans="5:11" x14ac:dyDescent="0.25">
      <c r="E4" s="21" t="s">
        <v>36</v>
      </c>
      <c r="F4" s="21" t="s">
        <v>37</v>
      </c>
      <c r="G4" s="22">
        <v>160.9</v>
      </c>
      <c r="H4" s="21" t="s">
        <v>38</v>
      </c>
      <c r="I4" s="21" t="s">
        <v>39</v>
      </c>
      <c r="J4" s="21" t="s">
        <v>40</v>
      </c>
      <c r="K4" s="23">
        <v>44828</v>
      </c>
    </row>
    <row r="5" spans="5:11" x14ac:dyDescent="0.25">
      <c r="E5" s="21" t="s">
        <v>41</v>
      </c>
      <c r="F5" s="21" t="s">
        <v>42</v>
      </c>
      <c r="G5" s="22">
        <v>209.91</v>
      </c>
      <c r="H5" s="21" t="s">
        <v>34</v>
      </c>
      <c r="I5" s="21" t="s">
        <v>34</v>
      </c>
      <c r="J5" s="21" t="s">
        <v>43</v>
      </c>
      <c r="K5" s="23">
        <v>44828</v>
      </c>
    </row>
    <row r="6" spans="5:11" x14ac:dyDescent="0.25">
      <c r="E6" s="21" t="s">
        <v>44</v>
      </c>
      <c r="F6" s="21" t="s">
        <v>45</v>
      </c>
      <c r="G6" s="22">
        <v>163.71</v>
      </c>
      <c r="H6" s="21" t="s">
        <v>46</v>
      </c>
      <c r="I6" s="21" t="s">
        <v>47</v>
      </c>
      <c r="J6" s="21" t="s">
        <v>48</v>
      </c>
      <c r="K6" s="23">
        <v>44828</v>
      </c>
    </row>
    <row r="7" spans="5:11" x14ac:dyDescent="0.25">
      <c r="E7" s="21" t="s">
        <v>49</v>
      </c>
      <c r="F7" s="21" t="s">
        <v>50</v>
      </c>
      <c r="G7" s="22">
        <v>1.67</v>
      </c>
      <c r="H7" s="21" t="s">
        <v>51</v>
      </c>
      <c r="I7" s="21" t="s">
        <v>52</v>
      </c>
      <c r="J7" s="21" t="s">
        <v>53</v>
      </c>
      <c r="K7" s="23">
        <v>44828</v>
      </c>
    </row>
    <row r="8" spans="5:11" x14ac:dyDescent="0.25">
      <c r="E8" s="21" t="s">
        <v>54</v>
      </c>
      <c r="F8" s="21" t="s">
        <v>55</v>
      </c>
      <c r="G8" s="22">
        <v>170.9</v>
      </c>
      <c r="H8" s="21" t="s">
        <v>56</v>
      </c>
      <c r="I8" s="21" t="s">
        <v>57</v>
      </c>
      <c r="J8" s="21" t="s">
        <v>58</v>
      </c>
      <c r="K8" s="23">
        <v>44828</v>
      </c>
    </row>
    <row r="9" spans="5:11" x14ac:dyDescent="0.25">
      <c r="G9" s="22"/>
    </row>
    <row r="10" spans="5:11" ht="15.75" thickBot="1" x14ac:dyDescent="0.3"/>
    <row r="11" spans="5:11" x14ac:dyDescent="0.25">
      <c r="E11" s="24" t="s">
        <v>59</v>
      </c>
      <c r="F11" s="25"/>
      <c r="G11" s="26"/>
    </row>
    <row r="12" spans="5:11" x14ac:dyDescent="0.25">
      <c r="E12" s="27" t="s">
        <v>60</v>
      </c>
      <c r="F12" s="21" t="s">
        <v>61</v>
      </c>
      <c r="G12" s="28" t="s">
        <v>62</v>
      </c>
    </row>
    <row r="13" spans="5:11" x14ac:dyDescent="0.25">
      <c r="E13" s="27" t="s">
        <v>32</v>
      </c>
      <c r="F13" s="21">
        <v>4</v>
      </c>
      <c r="G13" s="29">
        <f>F13*G3</f>
        <v>898.04</v>
      </c>
    </row>
    <row r="14" spans="5:11" x14ac:dyDescent="0.25">
      <c r="E14" s="27" t="s">
        <v>36</v>
      </c>
      <c r="F14" s="21">
        <v>4</v>
      </c>
      <c r="G14" s="29">
        <f t="shared" ref="G14:G16" si="0">F14*G4</f>
        <v>643.6</v>
      </c>
    </row>
    <row r="15" spans="5:11" x14ac:dyDescent="0.25">
      <c r="E15" s="27" t="s">
        <v>41</v>
      </c>
      <c r="F15" s="21">
        <v>1</v>
      </c>
      <c r="G15" s="29">
        <f t="shared" si="0"/>
        <v>209.91</v>
      </c>
    </row>
    <row r="16" spans="5:11" x14ac:dyDescent="0.25">
      <c r="E16" s="27" t="s">
        <v>44</v>
      </c>
      <c r="F16" s="21">
        <v>2</v>
      </c>
      <c r="G16" s="29">
        <f t="shared" si="0"/>
        <v>327.42</v>
      </c>
    </row>
    <row r="17" spans="5:11" ht="15.75" thickBot="1" x14ac:dyDescent="0.3">
      <c r="E17" s="30" t="s">
        <v>63</v>
      </c>
      <c r="F17" s="31"/>
      <c r="G17" s="32">
        <f>SUM(G13:G16)</f>
        <v>2078.9699999999998</v>
      </c>
    </row>
    <row r="18" spans="5:11" x14ac:dyDescent="0.25">
      <c r="E18" s="21" t="s">
        <v>64</v>
      </c>
      <c r="G18" s="21" t="s">
        <v>65</v>
      </c>
    </row>
    <row r="19" spans="5:11" ht="15.75" thickBot="1" x14ac:dyDescent="0.3"/>
    <row r="20" spans="5:11" x14ac:dyDescent="0.25">
      <c r="E20" s="24" t="s">
        <v>66</v>
      </c>
      <c r="F20" s="25"/>
      <c r="G20" s="26"/>
    </row>
    <row r="21" spans="5:11" x14ac:dyDescent="0.25">
      <c r="E21" s="27" t="s">
        <v>60</v>
      </c>
      <c r="F21" s="21" t="s">
        <v>61</v>
      </c>
      <c r="G21" s="28" t="s">
        <v>62</v>
      </c>
      <c r="J21" s="21" t="s">
        <v>67</v>
      </c>
    </row>
    <row r="22" spans="5:11" x14ac:dyDescent="0.25">
      <c r="E22" s="27" t="s">
        <v>32</v>
      </c>
      <c r="F22" s="21">
        <v>5</v>
      </c>
      <c r="G22" s="29">
        <f>F22*G3</f>
        <v>1122.55</v>
      </c>
      <c r="J22" s="21" t="s">
        <v>68</v>
      </c>
      <c r="K22" s="21" t="s">
        <v>69</v>
      </c>
    </row>
    <row r="23" spans="5:11" x14ac:dyDescent="0.25">
      <c r="E23" s="27" t="s">
        <v>36</v>
      </c>
      <c r="F23" s="21">
        <v>4</v>
      </c>
      <c r="G23" s="29">
        <f>F23*G4</f>
        <v>643.6</v>
      </c>
      <c r="J23" s="21" t="s">
        <v>70</v>
      </c>
    </row>
    <row r="24" spans="5:11" x14ac:dyDescent="0.25">
      <c r="E24" s="27" t="s">
        <v>41</v>
      </c>
      <c r="F24" s="21">
        <v>2</v>
      </c>
      <c r="G24" s="29">
        <f>F24*G5</f>
        <v>419.82</v>
      </c>
      <c r="J24" s="21" t="s">
        <v>71</v>
      </c>
    </row>
    <row r="25" spans="5:11" x14ac:dyDescent="0.25">
      <c r="E25" s="27" t="s">
        <v>44</v>
      </c>
      <c r="F25" s="21">
        <v>3</v>
      </c>
      <c r="G25" s="29">
        <f>F25*G6</f>
        <v>491.13</v>
      </c>
    </row>
    <row r="26" spans="5:11" ht="15.75" thickBot="1" x14ac:dyDescent="0.3">
      <c r="E26" s="30" t="s">
        <v>63</v>
      </c>
      <c r="F26" s="31"/>
      <c r="G26" s="32">
        <f>SUM(G22:G25)</f>
        <v>2677.1000000000004</v>
      </c>
      <c r="J26" s="21" t="s">
        <v>72</v>
      </c>
    </row>
    <row r="27" spans="5:11" x14ac:dyDescent="0.25">
      <c r="E27" s="21" t="s">
        <v>64</v>
      </c>
      <c r="G27" s="21" t="s">
        <v>65</v>
      </c>
      <c r="J27" s="21" t="s">
        <v>73</v>
      </c>
    </row>
    <row r="30" spans="5:11" x14ac:dyDescent="0.25">
      <c r="G30" s="22"/>
    </row>
    <row r="31" spans="5:11" ht="15.75" thickBot="1" x14ac:dyDescent="0.3"/>
    <row r="32" spans="5:11" x14ac:dyDescent="0.25">
      <c r="E32" s="24" t="s">
        <v>74</v>
      </c>
      <c r="F32" s="25" t="s">
        <v>61</v>
      </c>
      <c r="G32" s="26" t="s">
        <v>62</v>
      </c>
    </row>
    <row r="33" spans="5:15" ht="15.75" thickBot="1" x14ac:dyDescent="0.3">
      <c r="E33" s="30" t="s">
        <v>75</v>
      </c>
      <c r="F33" s="31">
        <f>F41</f>
        <v>503</v>
      </c>
      <c r="G33" s="32">
        <f>F33*G7</f>
        <v>840.01</v>
      </c>
    </row>
    <row r="34" spans="5:15" x14ac:dyDescent="0.25">
      <c r="G34" s="22"/>
    </row>
    <row r="35" spans="5:15" x14ac:dyDescent="0.25">
      <c r="G35" s="22"/>
    </row>
    <row r="37" spans="5:15" x14ac:dyDescent="0.25">
      <c r="E37" s="21" t="s">
        <v>76</v>
      </c>
      <c r="I37" s="21" t="s">
        <v>77</v>
      </c>
      <c r="K37" s="21" t="s">
        <v>78</v>
      </c>
    </row>
    <row r="38" spans="5:15" x14ac:dyDescent="0.25">
      <c r="E38" s="21" t="s">
        <v>79</v>
      </c>
      <c r="F38" s="21" t="s">
        <v>80</v>
      </c>
      <c r="I38" s="21" t="s">
        <v>81</v>
      </c>
      <c r="J38" s="21" t="s">
        <v>82</v>
      </c>
      <c r="K38" s="21" t="s">
        <v>81</v>
      </c>
      <c r="L38" s="21" t="s">
        <v>83</v>
      </c>
      <c r="O38" s="21">
        <f>0.4*8</f>
        <v>3.2</v>
      </c>
    </row>
    <row r="39" spans="5:15" x14ac:dyDescent="0.25">
      <c r="E39" s="21" t="s">
        <v>84</v>
      </c>
      <c r="F39" s="21" t="s">
        <v>85</v>
      </c>
      <c r="I39" s="21" t="s">
        <v>86</v>
      </c>
      <c r="J39" s="21" t="s">
        <v>87</v>
      </c>
      <c r="K39" s="21" t="s">
        <v>86</v>
      </c>
      <c r="L39" s="21" t="s">
        <v>88</v>
      </c>
      <c r="O39" s="21">
        <f>0.72*8</f>
        <v>5.76</v>
      </c>
    </row>
    <row r="40" spans="5:15" ht="15.75" thickBot="1" x14ac:dyDescent="0.3">
      <c r="E40" s="21" t="s">
        <v>89</v>
      </c>
      <c r="F40" s="21" t="s">
        <v>90</v>
      </c>
      <c r="I40" s="21" t="s">
        <v>91</v>
      </c>
      <c r="J40" s="21" t="s">
        <v>92</v>
      </c>
      <c r="K40" s="21" t="s">
        <v>91</v>
      </c>
      <c r="L40" s="21" t="s">
        <v>92</v>
      </c>
      <c r="O40" s="21">
        <v>12</v>
      </c>
    </row>
    <row r="41" spans="5:15" ht="15.75" thickBot="1" x14ac:dyDescent="0.3">
      <c r="E41" s="33" t="s">
        <v>89</v>
      </c>
      <c r="F41" s="34">
        <f>(G49+H49)/18</f>
        <v>503</v>
      </c>
      <c r="I41" s="21" t="s">
        <v>93</v>
      </c>
      <c r="J41" s="21" t="s">
        <v>94</v>
      </c>
      <c r="K41" s="21" t="s">
        <v>93</v>
      </c>
      <c r="L41" s="21" t="s">
        <v>94</v>
      </c>
      <c r="O41" s="21">
        <f>0.4*4</f>
        <v>1.6</v>
      </c>
    </row>
    <row r="42" spans="5:15" ht="15.75" thickBot="1" x14ac:dyDescent="0.3"/>
    <row r="43" spans="5:15" x14ac:dyDescent="0.25">
      <c r="E43" s="24"/>
      <c r="F43" s="25"/>
      <c r="G43" s="25" t="s">
        <v>95</v>
      </c>
      <c r="H43" s="26" t="s">
        <v>96</v>
      </c>
    </row>
    <row r="44" spans="5:15" ht="30" x14ac:dyDescent="0.25">
      <c r="E44" s="27" t="s">
        <v>97</v>
      </c>
      <c r="F44" s="35" t="s">
        <v>98</v>
      </c>
      <c r="G44" s="21" t="s">
        <v>99</v>
      </c>
      <c r="H44" s="28" t="s">
        <v>100</v>
      </c>
    </row>
    <row r="45" spans="5:15" ht="45" x14ac:dyDescent="0.25">
      <c r="E45" s="27" t="s">
        <v>97</v>
      </c>
      <c r="F45" s="35" t="s">
        <v>101</v>
      </c>
      <c r="G45" s="21" t="s">
        <v>102</v>
      </c>
      <c r="H45" s="28" t="s">
        <v>102</v>
      </c>
    </row>
    <row r="46" spans="5:15" ht="30" x14ac:dyDescent="0.25">
      <c r="E46" s="27" t="s">
        <v>103</v>
      </c>
      <c r="F46" s="35" t="s">
        <v>104</v>
      </c>
      <c r="G46" s="21" t="s">
        <v>105</v>
      </c>
      <c r="H46" s="28" t="s">
        <v>106</v>
      </c>
    </row>
    <row r="47" spans="5:15" ht="60" x14ac:dyDescent="0.25">
      <c r="E47" s="27" t="s">
        <v>107</v>
      </c>
      <c r="F47" s="35" t="s">
        <v>108</v>
      </c>
      <c r="G47" s="21" t="s">
        <v>109</v>
      </c>
      <c r="H47" s="28" t="s">
        <v>110</v>
      </c>
    </row>
    <row r="48" spans="5:15" x14ac:dyDescent="0.25">
      <c r="E48" s="27" t="s">
        <v>107</v>
      </c>
      <c r="F48" s="35" t="s">
        <v>111</v>
      </c>
      <c r="G48" s="21" t="s">
        <v>109</v>
      </c>
      <c r="H48" s="28" t="s">
        <v>110</v>
      </c>
    </row>
    <row r="49" spans="5:10" ht="15.75" thickBot="1" x14ac:dyDescent="0.3">
      <c r="E49" s="36"/>
      <c r="F49" s="37"/>
      <c r="G49" s="37">
        <f>1350+900+162+2250+2250</f>
        <v>6912</v>
      </c>
      <c r="H49" s="38">
        <f>900-900+162+180+1800</f>
        <v>2142</v>
      </c>
    </row>
    <row r="50" spans="5:10" ht="12.75" customHeight="1" x14ac:dyDescent="0.25"/>
    <row r="52" spans="5:10" x14ac:dyDescent="0.25">
      <c r="E52" s="21" t="s">
        <v>112</v>
      </c>
      <c r="F52" s="21" t="s">
        <v>113</v>
      </c>
      <c r="G52" s="21" t="s">
        <v>114</v>
      </c>
      <c r="H52" s="21" t="s">
        <v>115</v>
      </c>
    </row>
    <row r="53" spans="5:10" x14ac:dyDescent="0.25">
      <c r="E53" s="39" t="s">
        <v>116</v>
      </c>
      <c r="F53" s="40" t="s">
        <v>117</v>
      </c>
      <c r="G53" s="39" t="s">
        <v>118</v>
      </c>
      <c r="H53" s="39" t="s">
        <v>119</v>
      </c>
    </row>
    <row r="54" spans="5:10" x14ac:dyDescent="0.25">
      <c r="E54" s="21" t="s">
        <v>120</v>
      </c>
      <c r="F54" s="22">
        <v>3500</v>
      </c>
      <c r="G54" s="21" t="s">
        <v>121</v>
      </c>
      <c r="H54" s="21" t="s">
        <v>122</v>
      </c>
    </row>
    <row r="55" spans="5:10" x14ac:dyDescent="0.25">
      <c r="E55" s="39" t="s">
        <v>123</v>
      </c>
      <c r="F55" s="40">
        <v>3000</v>
      </c>
      <c r="G55" s="39" t="s">
        <v>124</v>
      </c>
      <c r="H55" s="39" t="s">
        <v>125</v>
      </c>
    </row>
    <row r="56" spans="5:10" x14ac:dyDescent="0.25">
      <c r="E56" s="39" t="s">
        <v>126</v>
      </c>
      <c r="F56" s="40" t="s">
        <v>117</v>
      </c>
      <c r="G56" s="39" t="s">
        <v>118</v>
      </c>
      <c r="H56" s="39" t="s">
        <v>127</v>
      </c>
    </row>
    <row r="57" spans="5:10" x14ac:dyDescent="0.25">
      <c r="E57" s="21" t="s">
        <v>128</v>
      </c>
      <c r="F57" s="22">
        <v>2500</v>
      </c>
      <c r="G57" s="21" t="s">
        <v>129</v>
      </c>
      <c r="H57" s="21" t="s">
        <v>130</v>
      </c>
    </row>
    <row r="58" spans="5:10" x14ac:dyDescent="0.25">
      <c r="E58" s="21" t="s">
        <v>131</v>
      </c>
      <c r="F58" s="41">
        <v>1006</v>
      </c>
      <c r="G58" s="42" t="s">
        <v>132</v>
      </c>
      <c r="H58" s="42" t="s">
        <v>133</v>
      </c>
      <c r="I58" s="42"/>
      <c r="J58" s="42"/>
    </row>
    <row r="61" spans="5:10" x14ac:dyDescent="0.25">
      <c r="E61" s="68" t="s">
        <v>134</v>
      </c>
      <c r="F61" s="67" t="s">
        <v>95</v>
      </c>
      <c r="G61" s="67"/>
      <c r="H61" s="67" t="s">
        <v>96</v>
      </c>
      <c r="I61" s="67"/>
    </row>
    <row r="62" spans="5:10" x14ac:dyDescent="0.25">
      <c r="E62" s="68"/>
      <c r="F62" s="43" t="s">
        <v>135</v>
      </c>
      <c r="G62" s="43" t="s">
        <v>136</v>
      </c>
      <c r="H62" s="43" t="s">
        <v>135</v>
      </c>
      <c r="I62" s="43" t="s">
        <v>136</v>
      </c>
    </row>
    <row r="63" spans="5:10" x14ac:dyDescent="0.25">
      <c r="E63" s="44" t="s">
        <v>137</v>
      </c>
      <c r="F63" s="45">
        <v>1</v>
      </c>
      <c r="G63" s="46">
        <f>F63*G17</f>
        <v>2078.9699999999998</v>
      </c>
      <c r="H63" s="45">
        <v>1</v>
      </c>
      <c r="I63" s="47">
        <f>H63*G17</f>
        <v>2078.9699999999998</v>
      </c>
    </row>
    <row r="64" spans="5:10" x14ac:dyDescent="0.25">
      <c r="E64" s="44" t="s">
        <v>137</v>
      </c>
      <c r="F64" s="45">
        <v>1</v>
      </c>
      <c r="G64" s="46">
        <f>F64*G26</f>
        <v>2677.1000000000004</v>
      </c>
      <c r="H64" s="45">
        <v>1</v>
      </c>
      <c r="I64" s="47">
        <f>H64*G26</f>
        <v>2677.1000000000004</v>
      </c>
    </row>
    <row r="65" spans="5:9" x14ac:dyDescent="0.25">
      <c r="E65" s="44" t="s">
        <v>138</v>
      </c>
      <c r="F65" s="45">
        <f>G49/18</f>
        <v>384</v>
      </c>
      <c r="G65" s="46">
        <f>F65*G7</f>
        <v>641.28</v>
      </c>
      <c r="H65" s="45">
        <f>H49/18</f>
        <v>119</v>
      </c>
      <c r="I65" s="47">
        <f>H65*G7</f>
        <v>198.73</v>
      </c>
    </row>
    <row r="66" spans="5:9" x14ac:dyDescent="0.25">
      <c r="E66" s="44" t="s">
        <v>139</v>
      </c>
      <c r="F66" s="45">
        <v>2</v>
      </c>
      <c r="G66" s="46" t="e">
        <f>F66*F53</f>
        <v>#VALUE!</v>
      </c>
      <c r="H66" s="45">
        <v>2</v>
      </c>
      <c r="I66" s="47" t="e">
        <f>H66*F53</f>
        <v>#VALUE!</v>
      </c>
    </row>
    <row r="67" spans="5:9" x14ac:dyDescent="0.25">
      <c r="E67" s="44" t="s">
        <v>140</v>
      </c>
      <c r="F67" s="45">
        <v>2</v>
      </c>
      <c r="G67" s="46">
        <f>F67*F54</f>
        <v>7000</v>
      </c>
      <c r="H67" s="45">
        <v>2</v>
      </c>
      <c r="I67" s="47">
        <f>H67*F54</f>
        <v>7000</v>
      </c>
    </row>
    <row r="68" spans="5:9" x14ac:dyDescent="0.25">
      <c r="E68" s="44" t="s">
        <v>141</v>
      </c>
      <c r="F68" s="45">
        <v>1</v>
      </c>
      <c r="G68" s="45" t="e">
        <f>F68*(F55+F56)</f>
        <v>#VALUE!</v>
      </c>
      <c r="H68" s="45">
        <v>1</v>
      </c>
      <c r="I68" s="48" t="e">
        <f>H68*(F55+F56)</f>
        <v>#VALUE!</v>
      </c>
    </row>
    <row r="69" spans="5:9" x14ac:dyDescent="0.25">
      <c r="E69" s="44" t="s">
        <v>131</v>
      </c>
      <c r="F69" s="45">
        <v>1</v>
      </c>
      <c r="G69" s="46">
        <f>F58*F69</f>
        <v>1006</v>
      </c>
      <c r="H69" s="45">
        <v>1</v>
      </c>
      <c r="I69" s="47">
        <f>H69*F58</f>
        <v>1006</v>
      </c>
    </row>
    <row r="70" spans="5:9" x14ac:dyDescent="0.25">
      <c r="E70" s="44" t="s">
        <v>142</v>
      </c>
      <c r="F70" s="45"/>
      <c r="G70" s="46" t="e">
        <f>SUM(G63:G68)*0.1</f>
        <v>#VALUE!</v>
      </c>
      <c r="H70" s="45"/>
      <c r="I70" s="47" t="e">
        <f>SUM(I63:I68)*0.1</f>
        <v>#VALUE!</v>
      </c>
    </row>
    <row r="71" spans="5:9" x14ac:dyDescent="0.25">
      <c r="E71" s="49" t="s">
        <v>143</v>
      </c>
      <c r="F71" s="66" t="e">
        <f>SUM(G63:G70)</f>
        <v>#VALUE!</v>
      </c>
      <c r="G71" s="66"/>
      <c r="H71" s="66" t="e">
        <f>SUM(I63:I70)</f>
        <v>#VALUE!</v>
      </c>
      <c r="I71" s="66"/>
    </row>
    <row r="72" spans="5:9" x14ac:dyDescent="0.25">
      <c r="E72" s="49" t="s">
        <v>144</v>
      </c>
      <c r="F72" s="66" t="e">
        <f>F71+H71</f>
        <v>#VALUE!</v>
      </c>
      <c r="G72" s="67"/>
      <c r="H72" s="67"/>
      <c r="I72" s="67"/>
    </row>
  </sheetData>
  <mergeCells count="6">
    <mergeCell ref="F72:I72"/>
    <mergeCell ref="E61:E62"/>
    <mergeCell ref="F61:G61"/>
    <mergeCell ref="H61:I61"/>
    <mergeCell ref="F71:G71"/>
    <mergeCell ref="H71:I7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CA33"/>
  <sheetViews>
    <sheetView showGridLines="0" zoomScaleNormal="100" zoomScaleSheetLayoutView="80" workbookViewId="0">
      <selection activeCell="C35" sqref="C35"/>
    </sheetView>
  </sheetViews>
  <sheetFormatPr defaultColWidth="3.25" defaultRowHeight="30" customHeight="1" x14ac:dyDescent="0.3"/>
  <cols>
    <col min="1" max="1" width="2.625" customWidth="1"/>
    <col min="2" max="2" width="62.5" style="2" customWidth="1"/>
    <col min="3" max="6" width="14.375" style="1" customWidth="1"/>
    <col min="7" max="7" width="15.625" style="3" customWidth="1"/>
    <col min="8" max="27" width="3.25" style="1"/>
  </cols>
  <sheetData>
    <row r="1" spans="2:79" ht="60" customHeight="1" thickBot="1" x14ac:dyDescent="0.85">
      <c r="B1" s="12" t="s">
        <v>145</v>
      </c>
      <c r="C1" s="11"/>
      <c r="D1" s="11"/>
      <c r="E1" s="11"/>
      <c r="F1" s="11"/>
      <c r="G1" s="11"/>
    </row>
    <row r="2" spans="2:79" ht="21" customHeight="1" thickTop="1" thickBot="1" x14ac:dyDescent="0.3">
      <c r="B2" s="20" t="s">
        <v>147</v>
      </c>
      <c r="C2" s="20"/>
      <c r="D2" s="20"/>
      <c r="E2" s="20"/>
      <c r="F2" s="20"/>
      <c r="G2" s="4" t="s">
        <v>5</v>
      </c>
      <c r="H2" s="13">
        <v>1</v>
      </c>
      <c r="J2" s="14"/>
      <c r="K2" s="76" t="s">
        <v>8</v>
      </c>
      <c r="L2" s="77"/>
      <c r="M2" s="77"/>
      <c r="N2" s="77"/>
      <c r="O2" s="78"/>
      <c r="P2" s="15"/>
      <c r="Q2" s="76" t="s">
        <v>9</v>
      </c>
      <c r="R2" s="79"/>
      <c r="S2" s="79"/>
      <c r="T2" s="78"/>
      <c r="U2" s="16"/>
      <c r="V2" s="73" t="s">
        <v>10</v>
      </c>
      <c r="W2" s="74"/>
      <c r="X2" s="74"/>
      <c r="Y2" s="80"/>
      <c r="Z2" s="17"/>
      <c r="AA2" s="73" t="s">
        <v>11</v>
      </c>
      <c r="AB2" s="74"/>
      <c r="AC2" s="74"/>
      <c r="AD2" s="74"/>
      <c r="AE2" s="74"/>
      <c r="AF2" s="74"/>
      <c r="AG2" s="18"/>
      <c r="AH2" s="73" t="s">
        <v>12</v>
      </c>
      <c r="AI2" s="74"/>
      <c r="AJ2" s="74"/>
      <c r="AK2" s="74"/>
      <c r="AL2" s="74"/>
      <c r="AM2" s="74"/>
      <c r="AN2" s="74"/>
      <c r="AO2" s="74"/>
      <c r="AP2" s="74"/>
    </row>
    <row r="3" spans="2:79" s="10" customFormat="1" ht="39.950000000000003" customHeight="1" thickTop="1" x14ac:dyDescent="0.25">
      <c r="B3" s="69" t="s">
        <v>0</v>
      </c>
      <c r="C3" s="71" t="s">
        <v>1</v>
      </c>
      <c r="D3" s="71" t="s">
        <v>2</v>
      </c>
      <c r="E3" s="71" t="s">
        <v>3</v>
      </c>
      <c r="F3" s="71" t="s">
        <v>4</v>
      </c>
      <c r="G3" s="75" t="s">
        <v>6</v>
      </c>
      <c r="H3" s="19" t="s">
        <v>7</v>
      </c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2:79" ht="90.75" customHeight="1" x14ac:dyDescent="0.25">
      <c r="B4" s="70"/>
      <c r="C4" s="72"/>
      <c r="D4" s="72"/>
      <c r="E4" s="72"/>
      <c r="F4" s="72"/>
      <c r="G4" s="72"/>
      <c r="H4" s="50">
        <v>1</v>
      </c>
      <c r="I4" s="50">
        <v>2</v>
      </c>
      <c r="J4" s="50">
        <v>3</v>
      </c>
      <c r="K4" s="50">
        <v>4</v>
      </c>
      <c r="L4" s="50">
        <v>5</v>
      </c>
      <c r="M4" s="50">
        <v>6</v>
      </c>
      <c r="N4" s="50">
        <v>7</v>
      </c>
      <c r="O4" s="50">
        <v>8</v>
      </c>
      <c r="P4" s="50">
        <v>9</v>
      </c>
      <c r="Q4" s="50">
        <v>10</v>
      </c>
      <c r="R4" s="50">
        <v>11</v>
      </c>
      <c r="S4" s="50">
        <v>12</v>
      </c>
      <c r="T4" s="50">
        <v>13</v>
      </c>
      <c r="U4" s="50">
        <v>14</v>
      </c>
      <c r="V4" s="50">
        <v>15</v>
      </c>
      <c r="W4" s="50">
        <v>16</v>
      </c>
      <c r="X4" s="50">
        <v>17</v>
      </c>
      <c r="Y4" s="50">
        <v>18</v>
      </c>
      <c r="Z4" s="50">
        <v>19</v>
      </c>
      <c r="AA4" s="50">
        <v>20</v>
      </c>
      <c r="AB4" s="50">
        <v>21</v>
      </c>
      <c r="AC4" s="50">
        <v>22</v>
      </c>
      <c r="AD4" s="50">
        <v>23</v>
      </c>
      <c r="AE4" s="50">
        <v>24</v>
      </c>
      <c r="AF4" s="50">
        <v>25</v>
      </c>
      <c r="AG4" s="50">
        <v>26</v>
      </c>
      <c r="AH4" s="50">
        <v>27</v>
      </c>
      <c r="AI4" s="50">
        <v>28</v>
      </c>
      <c r="AJ4" s="50">
        <v>29</v>
      </c>
      <c r="AK4" s="50">
        <v>30</v>
      </c>
      <c r="AL4" s="50">
        <v>31</v>
      </c>
      <c r="AM4" s="50">
        <v>32</v>
      </c>
      <c r="AN4" s="50">
        <v>33</v>
      </c>
      <c r="AO4" s="50">
        <v>34</v>
      </c>
      <c r="AP4" s="50">
        <v>35</v>
      </c>
      <c r="AQ4" s="50">
        <v>36</v>
      </c>
      <c r="AR4" s="50">
        <v>37</v>
      </c>
      <c r="AS4" s="50">
        <v>38</v>
      </c>
      <c r="AT4" s="50">
        <v>39</v>
      </c>
      <c r="AU4" s="50">
        <v>40</v>
      </c>
      <c r="AV4" s="50">
        <v>41</v>
      </c>
      <c r="AW4" s="50">
        <v>42</v>
      </c>
      <c r="AX4" s="50">
        <v>43</v>
      </c>
      <c r="AY4" s="50">
        <v>44</v>
      </c>
      <c r="AZ4" s="50">
        <v>45</v>
      </c>
      <c r="BA4" s="50">
        <v>46</v>
      </c>
      <c r="BB4" s="50">
        <v>47</v>
      </c>
      <c r="BC4" s="50">
        <v>48</v>
      </c>
      <c r="BD4" s="50">
        <v>49</v>
      </c>
      <c r="BE4" s="50">
        <v>50</v>
      </c>
      <c r="BF4" s="50">
        <v>51</v>
      </c>
      <c r="BG4" s="50">
        <v>52</v>
      </c>
      <c r="BH4" s="50">
        <v>53</v>
      </c>
      <c r="BI4" s="50">
        <v>54</v>
      </c>
      <c r="BJ4" s="50">
        <v>55</v>
      </c>
      <c r="BK4" s="50">
        <v>56</v>
      </c>
      <c r="BL4" s="50">
        <v>57</v>
      </c>
      <c r="BM4" s="50">
        <v>58</v>
      </c>
      <c r="BN4" s="50">
        <v>59</v>
      </c>
      <c r="BO4" s="50">
        <v>60</v>
      </c>
      <c r="BP4" s="50">
        <v>61</v>
      </c>
      <c r="BQ4" s="50">
        <v>62</v>
      </c>
      <c r="BR4" s="50">
        <v>63</v>
      </c>
      <c r="BS4" s="50">
        <v>64</v>
      </c>
      <c r="BT4" s="50">
        <v>65</v>
      </c>
      <c r="BU4" s="50">
        <v>66</v>
      </c>
      <c r="BV4" s="50">
        <v>67</v>
      </c>
      <c r="BW4" s="50">
        <v>68</v>
      </c>
      <c r="BX4" s="50">
        <v>69</v>
      </c>
      <c r="BY4" s="50">
        <v>70</v>
      </c>
      <c r="BZ4" s="50">
        <v>71</v>
      </c>
      <c r="CA4" s="50">
        <v>72</v>
      </c>
    </row>
    <row r="5" spans="2:79" ht="30" customHeight="1" x14ac:dyDescent="0.3">
      <c r="B5" s="5" t="s">
        <v>146</v>
      </c>
      <c r="C5" s="6">
        <v>1</v>
      </c>
      <c r="D5" s="6">
        <v>3</v>
      </c>
      <c r="E5" s="6"/>
      <c r="F5" s="6"/>
      <c r="G5" s="7">
        <v>0</v>
      </c>
    </row>
    <row r="6" spans="2:79" ht="30" customHeight="1" x14ac:dyDescent="0.3">
      <c r="B6" s="5" t="s">
        <v>148</v>
      </c>
      <c r="C6" s="6">
        <v>4</v>
      </c>
      <c r="D6" s="6">
        <v>3</v>
      </c>
      <c r="E6" s="6"/>
      <c r="F6" s="6"/>
      <c r="G6" s="7">
        <v>0</v>
      </c>
    </row>
    <row r="7" spans="2:79" ht="30" customHeight="1" x14ac:dyDescent="0.3">
      <c r="B7" s="51" t="s">
        <v>152</v>
      </c>
      <c r="C7" s="52">
        <v>6</v>
      </c>
      <c r="D7" s="52">
        <v>2</v>
      </c>
      <c r="E7" s="52">
        <v>6</v>
      </c>
      <c r="F7" s="52">
        <v>2</v>
      </c>
      <c r="G7" s="53">
        <v>1</v>
      </c>
    </row>
    <row r="8" spans="2:79" ht="30" customHeight="1" x14ac:dyDescent="0.3">
      <c r="B8" s="5" t="s">
        <v>148</v>
      </c>
      <c r="C8" s="6">
        <v>8</v>
      </c>
      <c r="D8" s="6">
        <v>1</v>
      </c>
      <c r="E8" s="6"/>
      <c r="F8" s="6"/>
      <c r="G8" s="7">
        <v>0</v>
      </c>
    </row>
    <row r="9" spans="2:79" ht="30" customHeight="1" x14ac:dyDescent="0.3">
      <c r="B9" s="5" t="s">
        <v>149</v>
      </c>
      <c r="C9" s="6">
        <v>9</v>
      </c>
      <c r="D9" s="6">
        <v>4</v>
      </c>
      <c r="E9" s="6"/>
      <c r="F9" s="6"/>
      <c r="G9" s="7">
        <v>0</v>
      </c>
    </row>
    <row r="10" spans="2:79" ht="30" customHeight="1" x14ac:dyDescent="0.3">
      <c r="B10" s="51" t="s">
        <v>152</v>
      </c>
      <c r="C10" s="52">
        <v>13</v>
      </c>
      <c r="D10" s="52">
        <v>2</v>
      </c>
      <c r="E10" s="52">
        <v>13</v>
      </c>
      <c r="F10" s="52">
        <v>2</v>
      </c>
      <c r="G10" s="53">
        <v>1</v>
      </c>
    </row>
    <row r="11" spans="2:79" ht="30" customHeight="1" x14ac:dyDescent="0.3">
      <c r="B11" s="5" t="s">
        <v>153</v>
      </c>
      <c r="C11" s="6">
        <v>8</v>
      </c>
      <c r="D11" s="6">
        <v>5</v>
      </c>
      <c r="E11" s="6"/>
      <c r="F11" s="6"/>
      <c r="G11" s="7">
        <v>0</v>
      </c>
    </row>
    <row r="12" spans="2:79" ht="30" customHeight="1" x14ac:dyDescent="0.3">
      <c r="B12" s="5" t="s">
        <v>150</v>
      </c>
      <c r="C12" s="6">
        <v>15</v>
      </c>
      <c r="D12" s="6">
        <v>5</v>
      </c>
      <c r="E12" s="6"/>
      <c r="F12" s="6"/>
      <c r="G12" s="7">
        <v>0</v>
      </c>
    </row>
    <row r="13" spans="2:79" ht="30" customHeight="1" x14ac:dyDescent="0.3">
      <c r="B13" s="51" t="s">
        <v>152</v>
      </c>
      <c r="C13" s="52">
        <v>20</v>
      </c>
      <c r="D13" s="52">
        <v>2</v>
      </c>
      <c r="E13" s="52">
        <v>20</v>
      </c>
      <c r="F13" s="52">
        <v>2</v>
      </c>
      <c r="G13" s="53">
        <v>1</v>
      </c>
    </row>
    <row r="14" spans="2:79" ht="30" customHeight="1" x14ac:dyDescent="0.3">
      <c r="B14" s="5" t="s">
        <v>157</v>
      </c>
      <c r="C14" s="6">
        <v>22</v>
      </c>
      <c r="D14" s="6">
        <v>3</v>
      </c>
      <c r="E14" s="6"/>
      <c r="F14" s="6"/>
      <c r="G14" s="7">
        <v>0</v>
      </c>
    </row>
    <row r="15" spans="2:79" ht="30" customHeight="1" x14ac:dyDescent="0.3">
      <c r="B15" s="5" t="s">
        <v>151</v>
      </c>
      <c r="C15" s="6">
        <v>23</v>
      </c>
      <c r="D15" s="6">
        <v>4</v>
      </c>
      <c r="E15" s="6"/>
      <c r="F15" s="6"/>
      <c r="G15" s="7">
        <v>0</v>
      </c>
    </row>
    <row r="16" spans="2:79" ht="30" customHeight="1" x14ac:dyDescent="0.3">
      <c r="B16" s="51" t="s">
        <v>152</v>
      </c>
      <c r="C16" s="52">
        <v>27</v>
      </c>
      <c r="D16" s="52">
        <v>2</v>
      </c>
      <c r="E16" s="52">
        <v>27</v>
      </c>
      <c r="F16" s="52">
        <v>2</v>
      </c>
      <c r="G16" s="53">
        <v>1</v>
      </c>
    </row>
    <row r="17" spans="2:7" ht="30" customHeight="1" x14ac:dyDescent="0.3">
      <c r="B17" s="5" t="s">
        <v>154</v>
      </c>
      <c r="C17" s="6">
        <v>29</v>
      </c>
      <c r="D17" s="6">
        <v>5</v>
      </c>
      <c r="E17" s="6"/>
      <c r="F17" s="6"/>
      <c r="G17" s="7">
        <v>0</v>
      </c>
    </row>
    <row r="18" spans="2:7" ht="30" customHeight="1" x14ac:dyDescent="0.3">
      <c r="B18" s="51" t="s">
        <v>152</v>
      </c>
      <c r="C18" s="52">
        <v>34</v>
      </c>
      <c r="D18" s="52">
        <v>2</v>
      </c>
      <c r="E18" s="52">
        <v>34</v>
      </c>
      <c r="F18" s="52">
        <v>2</v>
      </c>
      <c r="G18" s="53">
        <v>1</v>
      </c>
    </row>
    <row r="19" spans="2:7" ht="30" customHeight="1" x14ac:dyDescent="0.3">
      <c r="B19" s="5" t="s">
        <v>154</v>
      </c>
      <c r="C19" s="6">
        <v>36</v>
      </c>
      <c r="D19" s="6">
        <v>5</v>
      </c>
      <c r="E19" s="6"/>
      <c r="F19" s="6"/>
      <c r="G19" s="7">
        <v>0</v>
      </c>
    </row>
    <row r="20" spans="2:7" ht="30" customHeight="1" x14ac:dyDescent="0.3">
      <c r="B20" s="51" t="s">
        <v>152</v>
      </c>
      <c r="C20" s="52">
        <v>41</v>
      </c>
      <c r="D20" s="52">
        <v>2</v>
      </c>
      <c r="E20" s="52">
        <v>41</v>
      </c>
      <c r="F20" s="52">
        <v>2</v>
      </c>
      <c r="G20" s="53">
        <v>1</v>
      </c>
    </row>
    <row r="21" spans="2:7" ht="30" customHeight="1" x14ac:dyDescent="0.3">
      <c r="B21" s="5" t="s">
        <v>154</v>
      </c>
      <c r="C21" s="6">
        <v>43</v>
      </c>
      <c r="D21" s="6">
        <v>5</v>
      </c>
      <c r="E21" s="6"/>
      <c r="F21" s="6"/>
      <c r="G21" s="7">
        <v>0</v>
      </c>
    </row>
    <row r="22" spans="2:7" ht="30" customHeight="1" x14ac:dyDescent="0.3">
      <c r="B22" s="51" t="s">
        <v>152</v>
      </c>
      <c r="C22" s="52">
        <v>48</v>
      </c>
      <c r="D22" s="52">
        <v>2</v>
      </c>
      <c r="E22" s="52">
        <v>48</v>
      </c>
      <c r="F22" s="52">
        <v>2</v>
      </c>
      <c r="G22" s="53">
        <v>1</v>
      </c>
    </row>
    <row r="23" spans="2:7" ht="30" customHeight="1" x14ac:dyDescent="0.3">
      <c r="B23" s="5" t="s">
        <v>154</v>
      </c>
      <c r="C23" s="6">
        <v>50</v>
      </c>
      <c r="D23" s="6">
        <v>5</v>
      </c>
      <c r="E23" s="6"/>
      <c r="F23" s="6"/>
      <c r="G23" s="7">
        <v>0</v>
      </c>
    </row>
    <row r="24" spans="2:7" ht="30" customHeight="1" x14ac:dyDescent="0.3">
      <c r="B24" s="5" t="s">
        <v>155</v>
      </c>
      <c r="C24" s="6">
        <v>34</v>
      </c>
      <c r="D24" s="6">
        <v>1</v>
      </c>
      <c r="E24" s="6"/>
      <c r="F24" s="6"/>
      <c r="G24" s="7">
        <v>0</v>
      </c>
    </row>
    <row r="25" spans="2:7" ht="30" customHeight="1" x14ac:dyDescent="0.3">
      <c r="B25" s="5" t="s">
        <v>155</v>
      </c>
      <c r="C25" s="6">
        <v>41</v>
      </c>
      <c r="D25" s="6">
        <v>1</v>
      </c>
      <c r="E25" s="6"/>
      <c r="F25" s="6"/>
      <c r="G25" s="7">
        <v>0</v>
      </c>
    </row>
    <row r="26" spans="2:7" ht="30" customHeight="1" x14ac:dyDescent="0.3">
      <c r="B26" s="51" t="s">
        <v>152</v>
      </c>
      <c r="C26" s="52">
        <v>55</v>
      </c>
      <c r="D26" s="52">
        <v>2</v>
      </c>
      <c r="E26" s="52">
        <v>55</v>
      </c>
      <c r="F26" s="52">
        <v>2</v>
      </c>
      <c r="G26" s="53">
        <v>1</v>
      </c>
    </row>
    <row r="27" spans="2:7" ht="30" customHeight="1" x14ac:dyDescent="0.3">
      <c r="B27" s="5" t="s">
        <v>159</v>
      </c>
      <c r="C27" s="6">
        <v>52</v>
      </c>
      <c r="D27" s="6">
        <v>3</v>
      </c>
      <c r="E27" s="6"/>
      <c r="F27" s="6"/>
      <c r="G27" s="7">
        <v>0</v>
      </c>
    </row>
    <row r="28" spans="2:7" ht="30" customHeight="1" x14ac:dyDescent="0.3">
      <c r="B28" s="54" t="s">
        <v>156</v>
      </c>
      <c r="C28" s="55">
        <v>55</v>
      </c>
      <c r="D28" s="55">
        <v>2</v>
      </c>
      <c r="E28" s="55"/>
      <c r="F28" s="55"/>
      <c r="G28" s="56">
        <v>0</v>
      </c>
    </row>
    <row r="29" spans="2:7" ht="30" customHeight="1" x14ac:dyDescent="0.3">
      <c r="B29" s="5" t="s">
        <v>158</v>
      </c>
      <c r="C29" s="6">
        <v>57</v>
      </c>
      <c r="D29" s="6">
        <v>5</v>
      </c>
      <c r="E29" s="6"/>
      <c r="F29" s="6"/>
      <c r="G29" s="7">
        <v>0</v>
      </c>
    </row>
    <row r="30" spans="2:7" ht="30" customHeight="1" x14ac:dyDescent="0.3">
      <c r="B30" s="51" t="s">
        <v>152</v>
      </c>
      <c r="C30" s="52">
        <v>62</v>
      </c>
      <c r="D30" s="52">
        <v>2</v>
      </c>
      <c r="E30" s="52">
        <v>62</v>
      </c>
      <c r="F30" s="52">
        <v>2</v>
      </c>
      <c r="G30" s="53">
        <v>1</v>
      </c>
    </row>
    <row r="31" spans="2:7" ht="30" customHeight="1" x14ac:dyDescent="0.3">
      <c r="B31" s="5" t="s">
        <v>160</v>
      </c>
      <c r="C31" s="6">
        <v>64</v>
      </c>
      <c r="D31" s="6">
        <v>5</v>
      </c>
      <c r="E31" s="6"/>
      <c r="F31" s="6"/>
      <c r="G31" s="7">
        <v>0</v>
      </c>
    </row>
    <row r="32" spans="2:7" ht="30" customHeight="1" x14ac:dyDescent="0.3">
      <c r="B32" s="5" t="s">
        <v>161</v>
      </c>
      <c r="C32" s="6">
        <v>22</v>
      </c>
      <c r="D32" s="6">
        <v>20</v>
      </c>
      <c r="E32" s="6"/>
      <c r="F32" s="6"/>
      <c r="G32" s="7">
        <v>0</v>
      </c>
    </row>
    <row r="33" spans="2:7" ht="30" customHeight="1" x14ac:dyDescent="0.3">
      <c r="B33" s="5"/>
      <c r="C33" s="6"/>
      <c r="D33" s="6"/>
      <c r="E33" s="6"/>
      <c r="F33" s="6"/>
      <c r="G33" s="7"/>
    </row>
  </sheetData>
  <mergeCells count="11">
    <mergeCell ref="AH2:AP2"/>
    <mergeCell ref="G3:G4"/>
    <mergeCell ref="K2:O2"/>
    <mergeCell ref="Q2:T2"/>
    <mergeCell ref="V2:Y2"/>
    <mergeCell ref="AA2:AF2"/>
    <mergeCell ref="B3:B4"/>
    <mergeCell ref="C3:C4"/>
    <mergeCell ref="D3:D4"/>
    <mergeCell ref="E3:E4"/>
    <mergeCell ref="F3:F4"/>
  </mergeCells>
  <conditionalFormatting sqref="H5:CA33">
    <cfRule type="expression" dxfId="9" priority="1">
      <formula>PercentualConcluído</formula>
    </cfRule>
    <cfRule type="expression" dxfId="8" priority="3">
      <formula>PercentualConcluídoAlém</formula>
    </cfRule>
    <cfRule type="expression" dxfId="7" priority="4">
      <formula>Real</formula>
    </cfRule>
    <cfRule type="expression" dxfId="6" priority="5">
      <formula>RealAlém</formula>
    </cfRule>
    <cfRule type="expression" dxfId="5" priority="6">
      <formula>Plano</formula>
    </cfRule>
    <cfRule type="expression" dxfId="4" priority="7">
      <formula>H$4=período_selecionado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4:CA34">
    <cfRule type="expression" dxfId="1" priority="2">
      <formula>TRUE</formula>
    </cfRule>
  </conditionalFormatting>
  <conditionalFormatting sqref="H4:CA4">
    <cfRule type="expression" dxfId="0" priority="8">
      <formula>H$4=período_selecionado</formula>
    </cfRule>
  </conditionalFormatting>
  <dataValidations count="16">
    <dataValidation allowBlank="1" showInputMessage="1" showErrorMessage="1" prompt="O Planejador de Projetos usa períodos de intervalos. Início=1 é o período de 1, e duração=5 significa que o projeto abrange cinco períodos começando pelo período de início. Insira dados começando em B5 para atualizar o gráfico." sqref="A1" xr:uid="{00000000-0002-0000-0000-000000000000}"/>
    <dataValidation type="list" errorStyle="warning" allowBlank="1" showInputMessage="1" showErrorMessage="1" error="Digite um valor de 1 a 60 ou selecione um período na lista, pressione Cancelar, Alt+Seta para baixo e Enter para selecionar um valor." prompt="Insira um período no intervalo de 1 a 60 ou selecione um período na lista. Pressione Alt+Seta para baixo para navegar pela lista e Enter para selecionar um valor.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Esta célula de legenda indica a duração do plano." sqref="J2" xr:uid="{00000000-0002-0000-0000-000002000000}"/>
    <dataValidation allowBlank="1" showInputMessage="1" showErrorMessage="1" prompt="Esta célula de legenda indica a duração real." sqref="P2" xr:uid="{00000000-0002-0000-0000-000003000000}"/>
    <dataValidation allowBlank="1" showInputMessage="1" showErrorMessage="1" prompt="Esta célula de legenda indica a porcentagem concluída do projeto." sqref="U2" xr:uid="{00000000-0002-0000-0000-000004000000}"/>
    <dataValidation allowBlank="1" showInputMessage="1" showErrorMessage="1" prompt="Esta célula de legenda indica a duração real além do plano." sqref="Z2" xr:uid="{00000000-0002-0000-0000-000005000000}"/>
    <dataValidation allowBlank="1" showInputMessage="1" showErrorMessage="1" prompt="Esta célula de legenda indica a porcentagem concluída além do plano do projeto." sqref="AG2" xr:uid="{00000000-0002-0000-0000-000006000000}"/>
    <dataValidation allowBlank="1" showInputMessage="1" showErrorMessage="1" prompt="Os períodos são transformados em gráficos de 1 a 60 iniciando da célula H4 até a célula BO4. " sqref="H3" xr:uid="{00000000-0002-0000-0000-000007000000}"/>
    <dataValidation allowBlank="1" showInputMessage="1" showErrorMessage="1" prompt="Insira a atividade na coluna B, começando na célula B5_x000a_" sqref="B3:B4" xr:uid="{00000000-0002-0000-0000-000008000000}"/>
    <dataValidation allowBlank="1" showInputMessage="1" showErrorMessage="1" prompt="Insira o período de início do plano na coluna C, começando na célula C5." sqref="C3:C4" xr:uid="{00000000-0002-0000-0000-000009000000}"/>
    <dataValidation allowBlank="1" showInputMessage="1" showErrorMessage="1" prompt="Insira o período de duração do plano na coluna D, começando na célula D5." sqref="D3:D4" xr:uid="{00000000-0002-0000-0000-00000A000000}"/>
    <dataValidation allowBlank="1" showInputMessage="1" showErrorMessage="1" prompt="Insira o período de início real na coluna E, começando na célula E5." sqref="E3:E4" xr:uid="{00000000-0002-0000-0000-00000B000000}"/>
    <dataValidation allowBlank="1" showInputMessage="1" showErrorMessage="1" prompt="Insira o período de duração real na coluna F, começando na célula F5." sqref="F3:F4" xr:uid="{00000000-0002-0000-0000-00000C000000}"/>
    <dataValidation allowBlank="1" showInputMessage="1" showErrorMessage="1" prompt="Insira a porcentagem concluída do projeto na coluna G, começando na célula G5." sqref="G3:G4" xr:uid="{00000000-0002-0000-0000-00000D000000}"/>
    <dataValidation allowBlank="1" showInputMessage="1" showErrorMessage="1" prompt="Título do projeto. Insira um novo título nesta célula. Realce um período em H2. A legenda do gráfico está em J2 a AI2" sqref="B1" xr:uid="{00000000-0002-0000-0000-00000E000000}"/>
    <dataValidation allowBlank="1" showInputMessage="1" showErrorMessage="1" prompt="Selecione um período para realçar em H2. Uma legenda do gráfico está em J2 a AI2." sqref="B2:F2" xr:uid="{00000000-0002-0000-0000-00000F000000}"/>
  </dataValidations>
  <printOptions horizontalCentered="1"/>
  <pageMargins left="0.45" right="0.45" top="0.5" bottom="0.5" header="0.3" footer="0.3"/>
  <pageSetup paperSize="9" scale="46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E3BA8-9F13-496A-A482-3401FCA4A3DD}">
  <dimension ref="A1:J19"/>
  <sheetViews>
    <sheetView tabSelected="1" workbookViewId="0">
      <selection activeCell="F15" sqref="F15"/>
    </sheetView>
  </sheetViews>
  <sheetFormatPr defaultRowHeight="14.25" x14ac:dyDescent="0.25"/>
  <cols>
    <col min="1" max="1" width="17.875" style="57" bestFit="1" customWidth="1"/>
    <col min="2" max="2" width="6.875" style="57" bestFit="1" customWidth="1"/>
    <col min="3" max="3" width="8.125" style="57" bestFit="1" customWidth="1"/>
    <col min="4" max="4" width="16.125" style="57" customWidth="1"/>
    <col min="5" max="5" width="13.125" style="57" bestFit="1" customWidth="1"/>
    <col min="6" max="6" width="38.625" style="57" customWidth="1"/>
    <col min="7" max="7" width="11.125" style="57" customWidth="1"/>
    <col min="8" max="8" width="26.125" style="57" bestFit="1" customWidth="1"/>
    <col min="9" max="9" width="21" style="57" bestFit="1" customWidth="1"/>
    <col min="10" max="10" width="11.375" style="57" bestFit="1" customWidth="1"/>
    <col min="11" max="16384" width="9" style="57"/>
  </cols>
  <sheetData>
    <row r="1" spans="1:10" x14ac:dyDescent="0.25">
      <c r="A1" s="65" t="s">
        <v>193</v>
      </c>
      <c r="B1" s="65" t="s">
        <v>163</v>
      </c>
      <c r="C1" s="65" t="s">
        <v>164</v>
      </c>
      <c r="D1" s="65" t="s">
        <v>189</v>
      </c>
      <c r="E1" s="65" t="s">
        <v>178</v>
      </c>
      <c r="F1" s="65" t="s">
        <v>183</v>
      </c>
      <c r="G1" s="65" t="s">
        <v>29</v>
      </c>
      <c r="H1" s="65" t="s">
        <v>175</v>
      </c>
      <c r="I1" s="65" t="s">
        <v>176</v>
      </c>
      <c r="J1" s="65" t="s">
        <v>177</v>
      </c>
    </row>
    <row r="2" spans="1:10" x14ac:dyDescent="0.25">
      <c r="A2" s="57" t="s">
        <v>179</v>
      </c>
      <c r="B2" s="57">
        <v>448693</v>
      </c>
      <c r="C2" s="57">
        <v>906363</v>
      </c>
      <c r="D2" s="57" t="s">
        <v>190</v>
      </c>
      <c r="E2" s="59">
        <v>1668</v>
      </c>
      <c r="G2" s="58" t="s">
        <v>180</v>
      </c>
      <c r="H2" s="61" t="s">
        <v>187</v>
      </c>
      <c r="I2" s="61" t="s">
        <v>187</v>
      </c>
    </row>
    <row r="3" spans="1:10" x14ac:dyDescent="0.25">
      <c r="A3" s="57" t="s">
        <v>162</v>
      </c>
      <c r="B3" s="57">
        <v>448623</v>
      </c>
      <c r="C3" s="57">
        <v>906373</v>
      </c>
      <c r="D3" s="57" t="s">
        <v>190</v>
      </c>
      <c r="E3" s="62">
        <v>2700</v>
      </c>
      <c r="F3" s="60" t="s">
        <v>188</v>
      </c>
      <c r="G3" s="58" t="s">
        <v>182</v>
      </c>
      <c r="H3" s="61" t="s">
        <v>187</v>
      </c>
      <c r="I3" s="61" t="s">
        <v>187</v>
      </c>
    </row>
    <row r="4" spans="1:10" x14ac:dyDescent="0.25">
      <c r="A4" s="57" t="s">
        <v>181</v>
      </c>
      <c r="B4" s="57">
        <v>448773</v>
      </c>
      <c r="C4" s="64">
        <v>906773</v>
      </c>
      <c r="D4" s="64" t="s">
        <v>190</v>
      </c>
      <c r="E4" s="59">
        <v>572.53</v>
      </c>
      <c r="F4" s="57" t="s">
        <v>191</v>
      </c>
      <c r="G4" s="58"/>
      <c r="H4" s="61" t="s">
        <v>187</v>
      </c>
      <c r="I4" s="61" t="s">
        <v>187</v>
      </c>
    </row>
    <row r="5" spans="1:10" x14ac:dyDescent="0.25">
      <c r="A5" s="57" t="s">
        <v>165</v>
      </c>
      <c r="B5" s="57">
        <v>448883</v>
      </c>
      <c r="C5" s="57">
        <v>906333</v>
      </c>
      <c r="D5" s="57" t="s">
        <v>190</v>
      </c>
      <c r="E5" s="59">
        <v>4338.37</v>
      </c>
      <c r="G5" s="58" t="s">
        <v>172</v>
      </c>
      <c r="H5" s="61" t="s">
        <v>187</v>
      </c>
      <c r="I5" s="61" t="s">
        <v>187</v>
      </c>
    </row>
    <row r="6" spans="1:10" x14ac:dyDescent="0.25">
      <c r="A6" s="57" t="s">
        <v>166</v>
      </c>
      <c r="B6" s="57">
        <v>448913</v>
      </c>
      <c r="C6" s="57">
        <v>906343</v>
      </c>
      <c r="D6" s="57" t="s">
        <v>190</v>
      </c>
      <c r="E6" s="59">
        <v>1890</v>
      </c>
      <c r="G6" s="58" t="s">
        <v>173</v>
      </c>
      <c r="H6" s="61" t="s">
        <v>187</v>
      </c>
      <c r="I6" s="61" t="s">
        <v>187</v>
      </c>
    </row>
    <row r="7" spans="1:10" x14ac:dyDescent="0.25">
      <c r="A7" s="57" t="s">
        <v>167</v>
      </c>
      <c r="B7" s="57">
        <v>448893</v>
      </c>
      <c r="C7" s="64">
        <v>906463</v>
      </c>
      <c r="D7" s="64" t="s">
        <v>190</v>
      </c>
      <c r="E7" s="59">
        <v>1062</v>
      </c>
      <c r="F7" s="60" t="s">
        <v>186</v>
      </c>
      <c r="G7" s="58"/>
      <c r="H7" s="61" t="s">
        <v>187</v>
      </c>
      <c r="I7" s="61" t="s">
        <v>187</v>
      </c>
    </row>
    <row r="8" spans="1:10" x14ac:dyDescent="0.25">
      <c r="A8" s="57" t="s">
        <v>168</v>
      </c>
      <c r="B8" s="57">
        <v>448903</v>
      </c>
      <c r="C8" s="57">
        <v>906353</v>
      </c>
      <c r="D8" s="57" t="s">
        <v>190</v>
      </c>
      <c r="E8" s="59">
        <v>1150</v>
      </c>
      <c r="G8" s="58" t="s">
        <v>174</v>
      </c>
      <c r="H8" s="61" t="s">
        <v>187</v>
      </c>
      <c r="I8" s="61" t="s">
        <v>187</v>
      </c>
    </row>
    <row r="9" spans="1:10" x14ac:dyDescent="0.25">
      <c r="A9" s="57" t="s">
        <v>128</v>
      </c>
      <c r="B9" s="57">
        <v>448863</v>
      </c>
      <c r="C9" s="57">
        <v>906313</v>
      </c>
      <c r="D9" s="57" t="s">
        <v>190</v>
      </c>
      <c r="E9" s="59">
        <v>2062.5</v>
      </c>
      <c r="G9" s="58" t="s">
        <v>170</v>
      </c>
      <c r="H9" s="61" t="s">
        <v>187</v>
      </c>
      <c r="I9" s="61" t="s">
        <v>187</v>
      </c>
    </row>
    <row r="10" spans="1:10" x14ac:dyDescent="0.25">
      <c r="A10" s="57" t="s">
        <v>141</v>
      </c>
      <c r="B10" s="57">
        <v>448873</v>
      </c>
      <c r="C10" s="57">
        <v>906323</v>
      </c>
      <c r="D10" s="57" t="s">
        <v>190</v>
      </c>
      <c r="E10" s="59">
        <v>3707.7</v>
      </c>
      <c r="G10" s="58" t="s">
        <v>171</v>
      </c>
      <c r="H10" s="61" t="s">
        <v>187</v>
      </c>
      <c r="I10" s="61" t="s">
        <v>187</v>
      </c>
    </row>
    <row r="11" spans="1:10" x14ac:dyDescent="0.25">
      <c r="A11" s="57" t="s">
        <v>169</v>
      </c>
      <c r="B11" s="57">
        <v>447203</v>
      </c>
      <c r="C11" s="57">
        <v>904303</v>
      </c>
      <c r="D11" s="57" t="s">
        <v>190</v>
      </c>
      <c r="E11" s="59">
        <f>2238.35/2</f>
        <v>1119.175</v>
      </c>
      <c r="F11" s="61" t="s">
        <v>184</v>
      </c>
      <c r="G11" s="57" t="s">
        <v>185</v>
      </c>
      <c r="H11" s="61" t="s">
        <v>187</v>
      </c>
      <c r="I11" s="61" t="s">
        <v>187</v>
      </c>
    </row>
    <row r="12" spans="1:10" x14ac:dyDescent="0.25">
      <c r="A12" s="57" t="s">
        <v>194</v>
      </c>
      <c r="B12" s="57">
        <v>449593</v>
      </c>
      <c r="E12" s="57">
        <v>540</v>
      </c>
      <c r="F12" s="57" t="s">
        <v>195</v>
      </c>
      <c r="G12" s="57" t="s">
        <v>196</v>
      </c>
    </row>
    <row r="13" spans="1:10" x14ac:dyDescent="0.25">
      <c r="A13" s="57" t="s">
        <v>179</v>
      </c>
      <c r="B13" s="57">
        <v>450253</v>
      </c>
      <c r="C13" s="57">
        <v>908793</v>
      </c>
      <c r="D13" s="57" t="s">
        <v>190</v>
      </c>
    </row>
    <row r="14" spans="1:10" x14ac:dyDescent="0.25">
      <c r="B14" s="58"/>
      <c r="C14" s="58"/>
      <c r="D14" s="57" t="s">
        <v>192</v>
      </c>
      <c r="E14" s="63">
        <f>SUM(E2:E12)</f>
        <v>20810.274999999998</v>
      </c>
    </row>
    <row r="15" spans="1:10" x14ac:dyDescent="0.25">
      <c r="B15" s="58"/>
      <c r="C15" s="58"/>
      <c r="D15" s="58"/>
    </row>
    <row r="16" spans="1:10" x14ac:dyDescent="0.25">
      <c r="B16" s="58"/>
      <c r="C16" s="58"/>
      <c r="D16" s="58"/>
    </row>
    <row r="17" spans="2:4" x14ac:dyDescent="0.25">
      <c r="B17" s="58"/>
      <c r="C17" s="58"/>
      <c r="D17" s="58"/>
    </row>
    <row r="18" spans="2:4" x14ac:dyDescent="0.25">
      <c r="B18" s="58"/>
      <c r="C18" s="58"/>
      <c r="D18" s="58"/>
    </row>
    <row r="19" spans="2:4" x14ac:dyDescent="0.25">
      <c r="B19" s="58"/>
      <c r="C19" s="58"/>
      <c r="D19" s="5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Premissas</vt:lpstr>
      <vt:lpstr>Valores</vt:lpstr>
      <vt:lpstr>Prazos</vt:lpstr>
      <vt:lpstr>Planilha1</vt:lpstr>
      <vt:lpstr>período_selecionado</vt:lpstr>
      <vt:lpstr>RegiãodoTítulo..BO60</vt:lpstr>
      <vt:lpstr>Prazos!Titulos_de_impressao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2022-11-16T19:39:52Z</dcterms:modified>
</cp:coreProperties>
</file>