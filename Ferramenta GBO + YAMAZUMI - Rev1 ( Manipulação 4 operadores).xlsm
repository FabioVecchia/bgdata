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updateLinks="always"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Q:\13 ENGENHARIA DE MONTAGEM\31- ESTUDOS\3-TERMINAL DE DIREÇÃO\GBO + YAMAZUMI - MAR25\1- Análise com limitador\"/>
    </mc:Choice>
  </mc:AlternateContent>
  <xr:revisionPtr revIDLastSave="0" documentId="13_ncr:1_{DC05C89F-6A12-4395-B9F4-C9AD9D1DEBAB}" xr6:coauthVersionLast="47" xr6:coauthVersionMax="47" xr10:uidLastSave="{00000000-0000-0000-0000-000000000000}"/>
  <bookViews>
    <workbookView xWindow="-28920" yWindow="-1515" windowWidth="29040" windowHeight="15720" firstSheet="2" activeTab="5" xr2:uid="{47FBA13B-63A1-41EE-B6FF-DC2A035A51F3}"/>
  </bookViews>
  <sheets>
    <sheet name="Crono-análise de atividades" sheetId="1" r:id="rId1"/>
    <sheet name="Análise de fádiga -  Atual" sheetId="4" r:id="rId2"/>
    <sheet name="Painél indicadores" sheetId="6" r:id="rId3"/>
    <sheet name="Atividades" sheetId="10" r:id="rId4"/>
    <sheet name="Atividades YAMAZUMI" sheetId="11" r:id="rId5"/>
    <sheet name="GBO" sheetId="7" r:id="rId6"/>
    <sheet name="Análise de fádiga - Proposta" sheetId="9" r:id="rId7"/>
    <sheet name="Painél indicadores - Proposta" sheetId="8" r:id="rId8"/>
  </sheets>
  <definedNames>
    <definedName name="_xleta.AND" hidden="1" xlm="1">#NAME?</definedName>
    <definedName name="_xleta.IF" hidden="1" xlm="1">#NAME?</definedName>
    <definedName name="_xleta.RANDBETWEEN" hidden="1" xlm="1">#NAME?</definedName>
    <definedName name="_xlpm.contagem" hidden="1" xlm="1">#NAME?</definedName>
    <definedName name="_xlpm.dados" hidden="1" xlm="1">#NAME?</definedName>
    <definedName name="_xlpm.maior" hidden="1" xlm="1">#NAME?</definedName>
    <definedName name="_xlpm.media_ajustada" hidden="1" xlm="1">#NAME?</definedName>
    <definedName name="_xlpm.menor" hidden="1" xlm="1">#NAME?</definedName>
    <definedName name="_xlpm.soma" hidden="1" xlm="1">#NAME?</definedName>
  </definedNames>
  <calcPr calcId="191029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9" l="1"/>
  <c r="F5" i="9"/>
  <c r="D3" i="9"/>
  <c r="D4" i="9"/>
  <c r="D5" i="9"/>
  <c r="Q10" i="8"/>
  <c r="Z14" i="8"/>
  <c r="Z11" i="8"/>
  <c r="U28" i="8"/>
  <c r="T8" i="8"/>
  <c r="T10" i="8"/>
  <c r="T9" i="8"/>
  <c r="Q21" i="8"/>
  <c r="Q20" i="8"/>
  <c r="Q19" i="8"/>
  <c r="AB13" i="8"/>
  <c r="Z12" i="6"/>
  <c r="E6" i="1"/>
  <c r="U12" i="7" l="1"/>
  <c r="U15" i="7"/>
  <c r="U19" i="7"/>
  <c r="U20" i="7"/>
  <c r="U21" i="7"/>
  <c r="U24" i="7"/>
  <c r="U27" i="7"/>
  <c r="U54" i="7"/>
  <c r="U55" i="7"/>
  <c r="Q10" i="7"/>
  <c r="U10" i="7" s="1"/>
  <c r="Q11" i="7"/>
  <c r="U11" i="7" s="1"/>
  <c r="Q12" i="7"/>
  <c r="Q13" i="7"/>
  <c r="U13" i="7" s="1"/>
  <c r="Q14" i="7"/>
  <c r="Q15" i="7"/>
  <c r="Q16" i="7"/>
  <c r="U16" i="7" s="1"/>
  <c r="Q17" i="7"/>
  <c r="U17" i="7" s="1"/>
  <c r="Q18" i="7"/>
  <c r="U18" i="7" s="1"/>
  <c r="Q19" i="7"/>
  <c r="Q20" i="7"/>
  <c r="Q21" i="7"/>
  <c r="Q22" i="7"/>
  <c r="U22" i="7" s="1"/>
  <c r="Q23" i="7"/>
  <c r="U23" i="7" s="1"/>
  <c r="Q24" i="7"/>
  <c r="Q25" i="7"/>
  <c r="U25" i="7" s="1"/>
  <c r="Q26" i="7"/>
  <c r="U26" i="7" s="1"/>
  <c r="Q27" i="7"/>
  <c r="Q28" i="7"/>
  <c r="U28" i="7" s="1"/>
  <c r="Q29" i="7"/>
  <c r="Q30" i="7"/>
  <c r="Q31" i="7"/>
  <c r="U31" i="7" s="1"/>
  <c r="Q32" i="7"/>
  <c r="U32" i="7" s="1"/>
  <c r="Q33" i="7"/>
  <c r="U33" i="7" s="1"/>
  <c r="Q34" i="7"/>
  <c r="U34" i="7" s="1"/>
  <c r="Q35" i="7"/>
  <c r="Q36" i="7"/>
  <c r="Q37" i="7"/>
  <c r="Q38" i="7"/>
  <c r="U38" i="7" s="1"/>
  <c r="Q39" i="7"/>
  <c r="U39" i="7" s="1"/>
  <c r="Q40" i="7"/>
  <c r="U40" i="7" s="1"/>
  <c r="Q41" i="7"/>
  <c r="Q42" i="7"/>
  <c r="Q43" i="7"/>
  <c r="Q44" i="7"/>
  <c r="U44" i="7" s="1"/>
  <c r="Q45" i="7"/>
  <c r="U45" i="7" s="1"/>
  <c r="Q46" i="7"/>
  <c r="Q47" i="7"/>
  <c r="U47" i="7" s="1"/>
  <c r="Q48" i="7"/>
  <c r="U48" i="7" s="1"/>
  <c r="Q49" i="7"/>
  <c r="U49" i="7" s="1"/>
  <c r="Q50" i="7"/>
  <c r="U50" i="7" s="1"/>
  <c r="Q51" i="7"/>
  <c r="U51" i="7" s="1"/>
  <c r="Q52" i="7"/>
  <c r="U52" i="7" s="1"/>
  <c r="Q53" i="7"/>
  <c r="U53" i="7" s="1"/>
  <c r="Q54" i="7"/>
  <c r="Q55" i="7"/>
  <c r="Y13" i="7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P54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5" i="1"/>
  <c r="T18" i="1" l="1"/>
  <c r="P17" i="1"/>
  <c r="T17" i="1" s="1"/>
  <c r="T19" i="1"/>
  <c r="AI19" i="1" a="1"/>
  <c r="AI19" i="1" s="1"/>
  <c r="P11" i="1" l="1"/>
  <c r="T11" i="1" s="1"/>
  <c r="P12" i="1"/>
  <c r="T12" i="1" s="1"/>
  <c r="P13" i="1"/>
  <c r="T13" i="1" s="1"/>
  <c r="P14" i="1"/>
  <c r="T14" i="1" s="1"/>
  <c r="P15" i="1"/>
  <c r="T15" i="1" s="1"/>
  <c r="P16" i="1"/>
  <c r="T16" i="1" s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P10" i="1"/>
  <c r="T10" i="1" s="1"/>
  <c r="C8" i="4" l="1"/>
  <c r="D8" i="4"/>
  <c r="F8" i="4"/>
  <c r="C9" i="4"/>
  <c r="D9" i="4"/>
  <c r="F9" i="4"/>
  <c r="C10" i="4"/>
  <c r="D10" i="4"/>
  <c r="F10" i="4"/>
  <c r="C11" i="4"/>
  <c r="D11" i="4"/>
  <c r="F11" i="4"/>
  <c r="C12" i="4"/>
  <c r="D12" i="4"/>
  <c r="F12" i="4"/>
  <c r="C13" i="4"/>
  <c r="D13" i="4"/>
  <c r="F13" i="4"/>
  <c r="C14" i="4"/>
  <c r="D14" i="4"/>
  <c r="F14" i="4"/>
  <c r="C15" i="4"/>
  <c r="D15" i="4"/>
  <c r="F15" i="4"/>
  <c r="C16" i="4"/>
  <c r="D16" i="4"/>
  <c r="F16" i="4"/>
  <c r="C17" i="4"/>
  <c r="D17" i="4"/>
  <c r="F17" i="4"/>
  <c r="C18" i="4"/>
  <c r="D18" i="4"/>
  <c r="F18" i="4"/>
  <c r="C19" i="4"/>
  <c r="D19" i="4"/>
  <c r="F19" i="4"/>
  <c r="C20" i="4"/>
  <c r="D20" i="4"/>
  <c r="F20" i="4"/>
  <c r="C21" i="4"/>
  <c r="D21" i="4"/>
  <c r="F21" i="4"/>
  <c r="C22" i="4"/>
  <c r="D22" i="4"/>
  <c r="F22" i="4"/>
  <c r="C23" i="4"/>
  <c r="D23" i="4"/>
  <c r="F23" i="4"/>
  <c r="C24" i="4"/>
  <c r="D24" i="4"/>
  <c r="F24" i="4"/>
  <c r="C25" i="4"/>
  <c r="D25" i="4"/>
  <c r="F25" i="4"/>
  <c r="C26" i="4"/>
  <c r="D26" i="4"/>
  <c r="F26" i="4"/>
  <c r="C27" i="4"/>
  <c r="D27" i="4"/>
  <c r="F27" i="4"/>
  <c r="C28" i="4"/>
  <c r="D28" i="4"/>
  <c r="F28" i="4"/>
  <c r="C29" i="4"/>
  <c r="D29" i="4"/>
  <c r="F29" i="4"/>
  <c r="C30" i="4"/>
  <c r="D30" i="4"/>
  <c r="F30" i="4"/>
  <c r="C31" i="4"/>
  <c r="D31" i="4"/>
  <c r="F31" i="4"/>
  <c r="C32" i="4"/>
  <c r="D32" i="4"/>
  <c r="F32" i="4"/>
  <c r="C33" i="4"/>
  <c r="D33" i="4"/>
  <c r="F33" i="4"/>
  <c r="C34" i="4"/>
  <c r="D34" i="4"/>
  <c r="F34" i="4"/>
  <c r="C35" i="4"/>
  <c r="D35" i="4"/>
  <c r="F35" i="4"/>
  <c r="C36" i="4"/>
  <c r="D36" i="4"/>
  <c r="F36" i="4"/>
  <c r="C37" i="4"/>
  <c r="D37" i="4"/>
  <c r="F37" i="4"/>
  <c r="C38" i="4"/>
  <c r="D38" i="4"/>
  <c r="F38" i="4"/>
  <c r="C39" i="4"/>
  <c r="D39" i="4"/>
  <c r="F39" i="4"/>
  <c r="C40" i="4"/>
  <c r="D40" i="4"/>
  <c r="F40" i="4"/>
  <c r="C41" i="4"/>
  <c r="D41" i="4"/>
  <c r="F41" i="4"/>
  <c r="C42" i="4"/>
  <c r="D42" i="4"/>
  <c r="F42" i="4"/>
  <c r="C43" i="4"/>
  <c r="D43" i="4"/>
  <c r="F43" i="4"/>
  <c r="C44" i="4"/>
  <c r="D44" i="4"/>
  <c r="F44" i="4"/>
  <c r="C45" i="4"/>
  <c r="D45" i="4"/>
  <c r="F45" i="4"/>
  <c r="G9" i="4" l="1"/>
  <c r="G19" i="4"/>
  <c r="G8" i="4"/>
  <c r="G42" i="4"/>
  <c r="G33" i="4"/>
  <c r="G27" i="4"/>
  <c r="G21" i="4"/>
  <c r="G11" i="4"/>
  <c r="G16" i="4"/>
  <c r="G13" i="4"/>
  <c r="G30" i="4"/>
  <c r="D2" i="9"/>
  <c r="G45" i="4"/>
  <c r="G14" i="4"/>
  <c r="G25" i="4"/>
  <c r="G38" i="4"/>
  <c r="G35" i="4"/>
  <c r="G37" i="4"/>
  <c r="G18" i="4"/>
  <c r="G10" i="4"/>
  <c r="G43" i="4"/>
  <c r="G32" i="4"/>
  <c r="G20" i="4"/>
  <c r="G26" i="4"/>
  <c r="G23" i="4"/>
  <c r="G39" i="4"/>
  <c r="G28" i="4"/>
  <c r="G44" i="4"/>
  <c r="G31" i="4"/>
  <c r="G40" i="4"/>
  <c r="G15" i="4"/>
  <c r="G17" i="4"/>
  <c r="G12" i="4"/>
  <c r="G34" i="4"/>
  <c r="G29" i="4"/>
  <c r="G24" i="4"/>
  <c r="G41" i="4"/>
  <c r="G36" i="4"/>
  <c r="G22" i="4"/>
  <c r="J3" i="7" l="1"/>
  <c r="J2" i="7"/>
  <c r="F3" i="7"/>
  <c r="F2" i="7"/>
  <c r="C3" i="7"/>
  <c r="C2" i="7"/>
  <c r="B5" i="7"/>
  <c r="B7" i="7"/>
  <c r="B8" i="7"/>
  <c r="K4" i="7" s="1"/>
  <c r="K5" i="7" s="1"/>
  <c r="C48" i="9"/>
  <c r="E48" i="9" s="1"/>
  <c r="F48" i="9" s="1"/>
  <c r="D48" i="9"/>
  <c r="C47" i="9"/>
  <c r="D47" i="9"/>
  <c r="C46" i="9"/>
  <c r="D46" i="9"/>
  <c r="D45" i="9"/>
  <c r="C45" i="9"/>
  <c r="E45" i="9" s="1"/>
  <c r="D44" i="9"/>
  <c r="C44" i="9"/>
  <c r="D43" i="9"/>
  <c r="C43" i="9"/>
  <c r="D42" i="9"/>
  <c r="C42" i="9"/>
  <c r="D41" i="9"/>
  <c r="C41" i="9"/>
  <c r="D40" i="9"/>
  <c r="C40" i="9"/>
  <c r="E40" i="9" s="1"/>
  <c r="D39" i="9"/>
  <c r="C39" i="9"/>
  <c r="E39" i="9" s="1"/>
  <c r="D38" i="9"/>
  <c r="C38" i="9"/>
  <c r="D37" i="9"/>
  <c r="C37" i="9"/>
  <c r="D36" i="9"/>
  <c r="C36" i="9"/>
  <c r="D35" i="9"/>
  <c r="C35" i="9"/>
  <c r="D34" i="9"/>
  <c r="C34" i="9"/>
  <c r="E34" i="9" s="1"/>
  <c r="D33" i="9"/>
  <c r="C33" i="9"/>
  <c r="E33" i="9" s="1"/>
  <c r="F33" i="9" s="1"/>
  <c r="D32" i="9"/>
  <c r="C32" i="9"/>
  <c r="D31" i="9"/>
  <c r="C31" i="9"/>
  <c r="D30" i="9"/>
  <c r="C30" i="9"/>
  <c r="D29" i="9"/>
  <c r="C29" i="9"/>
  <c r="D28" i="9"/>
  <c r="C28" i="9"/>
  <c r="E28" i="9" s="1"/>
  <c r="D27" i="9"/>
  <c r="C27" i="9"/>
  <c r="E27" i="9" s="1"/>
  <c r="D26" i="9"/>
  <c r="C26" i="9"/>
  <c r="D25" i="9"/>
  <c r="C25" i="9"/>
  <c r="D24" i="9"/>
  <c r="C24" i="9"/>
  <c r="D23" i="9"/>
  <c r="C23" i="9"/>
  <c r="D22" i="9"/>
  <c r="C22" i="9"/>
  <c r="E22" i="9" s="1"/>
  <c r="D21" i="9"/>
  <c r="C21" i="9"/>
  <c r="E21" i="9" s="1"/>
  <c r="D20" i="9"/>
  <c r="C20" i="9"/>
  <c r="C19" i="9"/>
  <c r="C18" i="9"/>
  <c r="C17" i="9"/>
  <c r="C16" i="9"/>
  <c r="C15" i="9"/>
  <c r="C14" i="9"/>
  <c r="C13" i="9"/>
  <c r="C12" i="9"/>
  <c r="C11" i="9"/>
  <c r="C10" i="9"/>
  <c r="C6" i="9"/>
  <c r="C5" i="9"/>
  <c r="E5" i="9" s="1"/>
  <c r="C4" i="9"/>
  <c r="C3" i="9"/>
  <c r="E3" i="9" s="1"/>
  <c r="C2" i="9"/>
  <c r="E2" i="9" s="1"/>
  <c r="AI17" i="7" a="1"/>
  <c r="AI17" i="7" s="1"/>
  <c r="Y2" i="7" a="1"/>
  <c r="Y2" i="7" s="1"/>
  <c r="K4" i="1"/>
  <c r="K6" i="1" s="1"/>
  <c r="AC2" i="1" s="1"/>
  <c r="AC3" i="1" s="1"/>
  <c r="AC4" i="1" s="1"/>
  <c r="AC5" i="1" s="1"/>
  <c r="AC6" i="1" s="1"/>
  <c r="AC7" i="1" s="1"/>
  <c r="B7" i="1"/>
  <c r="K7" i="7" l="1"/>
  <c r="K6" i="7"/>
  <c r="K5" i="1"/>
  <c r="G48" i="9"/>
  <c r="E47" i="9"/>
  <c r="F47" i="9" s="1"/>
  <c r="G47" i="9" s="1"/>
  <c r="E20" i="9"/>
  <c r="E26" i="9"/>
  <c r="E32" i="9"/>
  <c r="F32" i="9" s="1"/>
  <c r="G32" i="9" s="1"/>
  <c r="E38" i="9"/>
  <c r="E44" i="9"/>
  <c r="F44" i="9" s="1"/>
  <c r="G44" i="9" s="1"/>
  <c r="E46" i="9"/>
  <c r="F46" i="9" s="1"/>
  <c r="G46" i="9" s="1"/>
  <c r="G19" i="9"/>
  <c r="E25" i="9"/>
  <c r="F25" i="9" s="1"/>
  <c r="G25" i="9" s="1"/>
  <c r="E31" i="9"/>
  <c r="E37" i="9"/>
  <c r="F37" i="9" s="1"/>
  <c r="G37" i="9" s="1"/>
  <c r="E43" i="9"/>
  <c r="F43" i="9" s="1"/>
  <c r="G43" i="9" s="1"/>
  <c r="G11" i="9"/>
  <c r="E23" i="9"/>
  <c r="F23" i="9" s="1"/>
  <c r="G23" i="9" s="1"/>
  <c r="E29" i="9"/>
  <c r="F29" i="9" s="1"/>
  <c r="G29" i="9" s="1"/>
  <c r="E35" i="9"/>
  <c r="E41" i="9"/>
  <c r="F41" i="9" s="1"/>
  <c r="G41" i="9" s="1"/>
  <c r="G12" i="9"/>
  <c r="G18" i="9"/>
  <c r="E24" i="9"/>
  <c r="F24" i="9" s="1"/>
  <c r="G24" i="9" s="1"/>
  <c r="E30" i="9"/>
  <c r="F30" i="9" s="1"/>
  <c r="G30" i="9" s="1"/>
  <c r="E36" i="9"/>
  <c r="F36" i="9" s="1"/>
  <c r="G36" i="9" s="1"/>
  <c r="E42" i="9"/>
  <c r="F42" i="9" s="1"/>
  <c r="G42" i="9" s="1"/>
  <c r="F45" i="9"/>
  <c r="G45" i="9" s="1"/>
  <c r="F40" i="9"/>
  <c r="G40" i="9" s="1"/>
  <c r="F39" i="9"/>
  <c r="G39" i="9" s="1"/>
  <c r="F38" i="9"/>
  <c r="G38" i="9" s="1"/>
  <c r="F35" i="9"/>
  <c r="G35" i="9" s="1"/>
  <c r="F34" i="9"/>
  <c r="G34" i="9" s="1"/>
  <c r="G33" i="9"/>
  <c r="F31" i="9"/>
  <c r="G31" i="9" s="1"/>
  <c r="F28" i="9"/>
  <c r="G28" i="9" s="1"/>
  <c r="F27" i="9"/>
  <c r="G27" i="9" s="1"/>
  <c r="F26" i="9"/>
  <c r="G26" i="9" s="1"/>
  <c r="F22" i="9"/>
  <c r="G22" i="9" s="1"/>
  <c r="F21" i="9"/>
  <c r="G21" i="9" s="1"/>
  <c r="F20" i="9"/>
  <c r="G20" i="9" s="1"/>
  <c r="G17" i="9"/>
  <c r="G15" i="9"/>
  <c r="G13" i="9"/>
  <c r="G16" i="9"/>
  <c r="G14" i="9"/>
  <c r="C2" i="4"/>
  <c r="C3" i="4"/>
  <c r="C4" i="4"/>
  <c r="C5" i="4"/>
  <c r="C6" i="4"/>
  <c r="C7" i="4"/>
  <c r="Y2" i="1" a="1"/>
  <c r="Y2" i="1" l="1"/>
  <c r="AJ19" i="1" s="1" a="1"/>
  <c r="AJ19" i="1" s="1"/>
  <c r="B4" i="1" l="1"/>
  <c r="B4" i="7" l="1"/>
  <c r="B6" i="1"/>
  <c r="E4" i="1" l="1"/>
  <c r="AB5" i="1" s="1"/>
  <c r="B6" i="7"/>
  <c r="E4" i="7" s="1"/>
  <c r="AB2" i="1" l="1"/>
  <c r="AB3" i="1"/>
  <c r="AB4" i="1"/>
  <c r="AJ2" i="7"/>
  <c r="AB6" i="7"/>
  <c r="Z6" i="8"/>
  <c r="AB5" i="7"/>
  <c r="AB4" i="7"/>
  <c r="AB3" i="7"/>
  <c r="AB2" i="7"/>
  <c r="AB7" i="7"/>
  <c r="Z7" i="7"/>
  <c r="AC7" i="7" s="1"/>
  <c r="AJ17" i="7" a="1"/>
  <c r="E5" i="7"/>
  <c r="E6" i="7" s="1"/>
  <c r="AB6" i="1"/>
  <c r="Z6" i="6"/>
  <c r="AB7" i="1"/>
  <c r="D5" i="4"/>
  <c r="D6" i="4"/>
  <c r="D2" i="4"/>
  <c r="D7" i="4"/>
  <c r="Z8" i="8" l="1"/>
  <c r="Z12" i="8"/>
  <c r="F3" i="9"/>
  <c r="E4" i="9"/>
  <c r="Z7" i="8"/>
  <c r="F2" i="9"/>
  <c r="AK23" i="7"/>
  <c r="AL23" i="7"/>
  <c r="AJ17" i="7"/>
  <c r="AJ23" i="7" s="1"/>
  <c r="F7" i="4"/>
  <c r="F5" i="4"/>
  <c r="F2" i="4"/>
  <c r="F6" i="4"/>
  <c r="G3" i="9" l="1"/>
  <c r="Z3" i="7"/>
  <c r="AC3" i="7" s="1"/>
  <c r="G10" i="9"/>
  <c r="AD2" i="7" a="1"/>
  <c r="AD2" i="7" s="1"/>
  <c r="H4" i="7" s="1"/>
  <c r="Z3" i="8" s="1"/>
  <c r="Z2" i="7"/>
  <c r="AC2" i="7" s="1"/>
  <c r="G2" i="9"/>
  <c r="E7" i="7"/>
  <c r="E8" i="7" s="1"/>
  <c r="G5" i="4"/>
  <c r="G2" i="4"/>
  <c r="G7" i="4"/>
  <c r="Z7" i="1"/>
  <c r="G6" i="4"/>
  <c r="Z6" i="1"/>
  <c r="Z2" i="1"/>
  <c r="G5" i="9" l="1"/>
  <c r="G6" i="9"/>
  <c r="Z6" i="7"/>
  <c r="AC6" i="7" s="1"/>
  <c r="Z13" i="8"/>
  <c r="Z9" i="8"/>
  <c r="G4" i="9" l="1"/>
  <c r="Z4" i="7"/>
  <c r="AC4" i="7" s="1"/>
  <c r="Z5" i="7"/>
  <c r="AC5" i="7" s="1"/>
  <c r="D3" i="4"/>
  <c r="F3" i="4" l="1"/>
  <c r="AK2" i="1"/>
  <c r="G3" i="4" l="1"/>
  <c r="E5" i="1"/>
  <c r="Z3" i="1"/>
  <c r="D4" i="4"/>
  <c r="Z7" i="6" l="1"/>
  <c r="Z8" i="6"/>
  <c r="AJ25" i="1"/>
  <c r="AL25" i="1"/>
  <c r="AK25" i="1"/>
  <c r="AE2" i="1" a="1"/>
  <c r="AE2" i="1" s="1"/>
  <c r="AA6" i="1" s="1"/>
  <c r="AD6" i="1" s="1"/>
  <c r="F4" i="4"/>
  <c r="Z5" i="1" s="1"/>
  <c r="E7" i="1" l="1"/>
  <c r="Z9" i="6" s="1"/>
  <c r="AA4" i="1"/>
  <c r="AE3" i="1"/>
  <c r="AE4" i="1" s="1"/>
  <c r="AE5" i="1" s="1"/>
  <c r="AE6" i="1" s="1"/>
  <c r="AE7" i="1" s="1"/>
  <c r="AA5" i="1"/>
  <c r="AD5" i="1" s="1"/>
  <c r="AA3" i="1"/>
  <c r="AD3" i="1" s="1"/>
  <c r="AA7" i="1"/>
  <c r="AD7" i="1" s="1"/>
  <c r="H4" i="1"/>
  <c r="Z3" i="6" s="1"/>
  <c r="AK1" i="1"/>
  <c r="Z11" i="6" s="1"/>
  <c r="AA2" i="1"/>
  <c r="AD2" i="1" s="1"/>
  <c r="AA6" i="7"/>
  <c r="AD3" i="7"/>
  <c r="AD4" i="7" s="1"/>
  <c r="AD5" i="7" s="1"/>
  <c r="AD6" i="7" s="1"/>
  <c r="AD7" i="7" s="1"/>
  <c r="AA3" i="7"/>
  <c r="AA7" i="7"/>
  <c r="AJ1" i="7"/>
  <c r="AA4" i="7"/>
  <c r="AA5" i="7"/>
  <c r="AA2" i="7"/>
  <c r="H6" i="7" s="1"/>
  <c r="Z4" i="1"/>
  <c r="G4" i="4"/>
  <c r="K7" i="1"/>
  <c r="E8" i="1" l="1"/>
  <c r="AD4" i="1"/>
  <c r="AJ3" i="7"/>
  <c r="AJ4" i="7" s="1"/>
  <c r="H6" i="1"/>
  <c r="H5" i="1"/>
  <c r="Z4" i="6" s="1"/>
  <c r="H7" i="1"/>
  <c r="H8" i="1" s="1"/>
  <c r="AK3" i="1"/>
  <c r="H7" i="7"/>
  <c r="M5" i="7" s="1"/>
  <c r="H5" i="7"/>
  <c r="Z4" i="8" s="1"/>
  <c r="H8" i="7" l="1"/>
  <c r="AK4" i="1"/>
  <c r="Z13" i="6" s="1"/>
  <c r="M4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Avila Teixeira</author>
  </authors>
  <commentList>
    <comment ref="R9" authorId="0" shapeId="0" xr:uid="{FD14C46A-C207-450D-B1BE-4ECE6EFC719F}">
      <text>
        <r>
          <rPr>
            <b/>
            <sz val="9"/>
            <color indexed="81"/>
            <rFont val="Segoe UI"/>
            <family val="2"/>
          </rPr>
          <t>David Avila Teixeira:</t>
        </r>
        <r>
          <rPr>
            <sz val="9"/>
            <color indexed="81"/>
            <rFont val="Segoe UI"/>
            <family val="2"/>
          </rPr>
          <t xml:space="preserve">
Conta o número de operações em "ID".
Até 10 movimentos = 15%
Acima de 10 movimentos = 25%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Avila Teixeira</author>
  </authors>
  <commentList>
    <comment ref="S9" authorId="0" shapeId="0" xr:uid="{A4A63696-2E40-49AF-A260-CA45EE84F39F}">
      <text>
        <r>
          <rPr>
            <b/>
            <sz val="9"/>
            <color indexed="81"/>
            <rFont val="Segoe UI"/>
            <family val="2"/>
          </rPr>
          <t>David Avila Teixeira:</t>
        </r>
        <r>
          <rPr>
            <sz val="9"/>
            <color indexed="81"/>
            <rFont val="Segoe UI"/>
            <family val="2"/>
          </rPr>
          <t xml:space="preserve">
Conta o número de operações em "ID".
Até 10 movimentos = 15%
Acima de 10 movimentos = 25%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<sst xmlns="http://schemas.openxmlformats.org/spreadsheetml/2006/main" count="777" uniqueCount="149">
  <si>
    <r>
      <t>Yamazumi Process Modeling Tool</t>
    </r>
    <r>
      <rPr>
        <sz val="12"/>
        <color indexed="8"/>
        <rFont val="Calibri"/>
        <family val="2"/>
      </rPr>
      <t> </t>
    </r>
  </si>
  <si>
    <t>Video</t>
  </si>
  <si>
    <t>Elaborador</t>
  </si>
  <si>
    <t>Processo</t>
  </si>
  <si>
    <t>Departamento</t>
  </si>
  <si>
    <t>Data</t>
  </si>
  <si>
    <t xml:space="preserve">Produto </t>
  </si>
  <si>
    <t>Método</t>
  </si>
  <si>
    <t>Tempo disponível (dia)</t>
  </si>
  <si>
    <t>min/dia</t>
  </si>
  <si>
    <t>Dias úteis</t>
  </si>
  <si>
    <t>dias/mês</t>
  </si>
  <si>
    <t>Tempo disponível (mês)</t>
  </si>
  <si>
    <t>min/mês</t>
  </si>
  <si>
    <t>Demanda (mês)</t>
  </si>
  <si>
    <t>peças/mês</t>
  </si>
  <si>
    <t>Demanda (dia)</t>
  </si>
  <si>
    <t>peças/dia</t>
  </si>
  <si>
    <t>Takt Time</t>
  </si>
  <si>
    <t xml:space="preserve">N° de postos </t>
  </si>
  <si>
    <t xml:space="preserve">postos </t>
  </si>
  <si>
    <t xml:space="preserve">N° real de postos </t>
  </si>
  <si>
    <t>Eficiência</t>
  </si>
  <si>
    <t>seg</t>
  </si>
  <si>
    <t>Nome da operação</t>
  </si>
  <si>
    <t>Operador</t>
  </si>
  <si>
    <t>Atividade</t>
  </si>
  <si>
    <t>Classificação</t>
  </si>
  <si>
    <t>OP1</t>
  </si>
  <si>
    <t>OP2</t>
  </si>
  <si>
    <t>OP3</t>
  </si>
  <si>
    <t>OP4</t>
  </si>
  <si>
    <t>OP5</t>
  </si>
  <si>
    <t>OP6</t>
  </si>
  <si>
    <t>FECHAMENTO + GRAVAÇÃO + PRÉ-MONTAGEM</t>
  </si>
  <si>
    <t>SIM</t>
  </si>
  <si>
    <t>AGREGA VALOR</t>
  </si>
  <si>
    <t>NECESSÁRIO</t>
  </si>
  <si>
    <t>DESPERDÍCIO</t>
  </si>
  <si>
    <t>Tméd (s)</t>
  </si>
  <si>
    <t>A1 (s)</t>
  </si>
  <si>
    <t>A2 (s)</t>
  </si>
  <si>
    <t>A3 (s)</t>
  </si>
  <si>
    <t>A4 (s)</t>
  </si>
  <si>
    <t>A5 (s)</t>
  </si>
  <si>
    <t>A6 (s)</t>
  </si>
  <si>
    <t>A7 (s)</t>
  </si>
  <si>
    <t>A8 (s)</t>
  </si>
  <si>
    <t>A9 (s)</t>
  </si>
  <si>
    <t>A10 (s)</t>
  </si>
  <si>
    <t>David Teixeira</t>
  </si>
  <si>
    <t>Montagem MTD</t>
  </si>
  <si>
    <t>Takt-Time</t>
  </si>
  <si>
    <t>Operações</t>
  </si>
  <si>
    <t>Tciclo (s)</t>
  </si>
  <si>
    <t>Gargalo</t>
  </si>
  <si>
    <t>Ocupação</t>
  </si>
  <si>
    <t>Agrega valor</t>
  </si>
  <si>
    <t>Desperdício</t>
  </si>
  <si>
    <t>Operadores</t>
  </si>
  <si>
    <t>LeadTime</t>
  </si>
  <si>
    <t>Engenharia</t>
  </si>
  <si>
    <t>Necessário</t>
  </si>
  <si>
    <t xml:space="preserve"> </t>
  </si>
  <si>
    <t>Movimentações</t>
  </si>
  <si>
    <t>Coef. Fadiga (s)</t>
  </si>
  <si>
    <t>Tméd ajustado (s)</t>
  </si>
  <si>
    <t>MOP</t>
  </si>
  <si>
    <t>Ritmo</t>
  </si>
  <si>
    <t>Frequência</t>
  </si>
  <si>
    <t>ID</t>
  </si>
  <si>
    <t>TM</t>
  </si>
  <si>
    <t>TMP</t>
  </si>
  <si>
    <t>EMBALAGEM SACO PLÁSTICO</t>
  </si>
  <si>
    <t>TOM</t>
  </si>
  <si>
    <t>GARAGALO</t>
  </si>
  <si>
    <t>Fadiga calculada</t>
  </si>
  <si>
    <t>Pegar o cachimbo com bucha com a mão direita</t>
  </si>
  <si>
    <t>Levar o cachimbo até a graxeira</t>
  </si>
  <si>
    <t>Aplicar a graxa</t>
  </si>
  <si>
    <t>Unir cachimbo com pino</t>
  </si>
  <si>
    <t>Esperar para retirar a peça</t>
  </si>
  <si>
    <t>Retira a peça processada e abastecer com a nova peça</t>
  </si>
  <si>
    <t>Capacidade instalada (dia)</t>
  </si>
  <si>
    <t>pç/h</t>
  </si>
  <si>
    <t>pc/dia</t>
  </si>
  <si>
    <t xml:space="preserve">APLICAÇÃO DO GUARDA-PÓ  </t>
  </si>
  <si>
    <t>Retirar peça do dispositivo e abastecer com a nova peça</t>
  </si>
  <si>
    <t>Unir peça montada com guarda-pó</t>
  </si>
  <si>
    <t>Coef. Fadiga (%)</t>
  </si>
  <si>
    <t>Pega o saco e abre com a mão esquerda e pega a peça montada com a mão direita</t>
  </si>
  <si>
    <t>TMO</t>
  </si>
  <si>
    <t>Coloca a peça e a porca dentro do saco plástico e libera pra próxima operação</t>
  </si>
  <si>
    <t>Pega um "punhado" de porcas com a mão direita</t>
  </si>
  <si>
    <t xml:space="preserve">Abrir saco de saco plástico e disposnibilizar sobre a mesa </t>
  </si>
  <si>
    <t>Pega o cartucho com a direita, leva até a esquerda e abre</t>
  </si>
  <si>
    <t>Pega o termo e coloca dentro do cartucho</t>
  </si>
  <si>
    <t>Pega a peça e coloca dentro do cartucho</t>
  </si>
  <si>
    <t>Fecha o cartucho</t>
  </si>
  <si>
    <t>Disponibiliza o cartucho fechado para a proxima operação</t>
  </si>
  <si>
    <t>Arrumar cartuchos fechados na mesa</t>
  </si>
  <si>
    <t>Abastecer a mesa de cartuchos</t>
  </si>
  <si>
    <t>CARTUCHO</t>
  </si>
  <si>
    <t>MASTER</t>
  </si>
  <si>
    <t>Pega a caixa fechada debaixo da mesa</t>
  </si>
  <si>
    <t>Coloca a caixa em cima da mesa e abre</t>
  </si>
  <si>
    <t>Dobrar abas da caixa master</t>
  </si>
  <si>
    <t>Pegar grampeador e posicionar</t>
  </si>
  <si>
    <t>Grampear parte de baixo da caixa</t>
  </si>
  <si>
    <t>Virar a caixa e abrir as abas de cima</t>
  </si>
  <si>
    <t>Guardar o grampeador</t>
  </si>
  <si>
    <t>Abastecer a caixa com cartuchos</t>
  </si>
  <si>
    <t>Fechar as abas da parte de cima da caixa</t>
  </si>
  <si>
    <t>Pegar o grampeador e posicionar</t>
  </si>
  <si>
    <t>Grampear as abas da parte superior da caixa</t>
  </si>
  <si>
    <t>Virar a caixa para colar etiqueta</t>
  </si>
  <si>
    <t>Pegar a etiqueta, descolar e aplicar na caixa</t>
  </si>
  <si>
    <t>Pegar pincel, abrir e marcar a etiqueta, fechar e guardar novamente</t>
  </si>
  <si>
    <t>Largar a caixa para a proxima posição.</t>
  </si>
  <si>
    <t>Levar as caixas fechadas acumuladas para colocar no pallete</t>
  </si>
  <si>
    <t>Colar etiqueta no cartucho</t>
  </si>
  <si>
    <t>Recolher o fim das etiquetas e colocar no lixo</t>
  </si>
  <si>
    <t>Colocar mais cartuchos na mesa e organizar para etiquetar</t>
  </si>
  <si>
    <t>Recortar as etiquetas e organizar para começar a aplicar novamente</t>
  </si>
  <si>
    <t xml:space="preserve">Agrega valor: </t>
  </si>
  <si>
    <t>Desperdício:</t>
  </si>
  <si>
    <t>Necessário:</t>
  </si>
  <si>
    <t>Gargalo da operação</t>
  </si>
  <si>
    <t>Tempo necessário</t>
  </si>
  <si>
    <t>horas</t>
  </si>
  <si>
    <t>%</t>
  </si>
  <si>
    <t>Eficiênca necessária</t>
  </si>
  <si>
    <t>Capacidade necessária</t>
  </si>
  <si>
    <t>Cap. instalada necessária</t>
  </si>
  <si>
    <t>Manter?</t>
  </si>
  <si>
    <t>Não</t>
  </si>
  <si>
    <t>Imprimir etiquetas</t>
  </si>
  <si>
    <t xml:space="preserve">Tempo do gargalo necessário </t>
  </si>
  <si>
    <t>Tgargalo MÁX</t>
  </si>
  <si>
    <t>Inspeção + Lançamento</t>
  </si>
  <si>
    <t>Movimentação de componentes</t>
  </si>
  <si>
    <t>Rótulos de Linha</t>
  </si>
  <si>
    <t>Total Geral</t>
  </si>
  <si>
    <t>Soma de Tméd ajustado (s)</t>
  </si>
  <si>
    <t>Contagem de Atividade</t>
  </si>
  <si>
    <t>Pegar um limitador com a mão esquerda e com a mão direita pegar uma peça montada</t>
  </si>
  <si>
    <t>Unir peça montada com limitador</t>
  </si>
  <si>
    <t xml:space="preserve">Pegar um guarda-pó com a mão esquerda </t>
  </si>
  <si>
    <t>CARTUCHO + 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</si>
</sst>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$-409]#,##0.00"/>
    <numFmt numFmtId="165" formatCode="m/d/yyyy;@"/>
    <numFmt numFmtId="166" formatCode="0.0"/>
    <numFmt numFmtId="167" formatCode="0.0%"/>
    <numFmt numFmtId="168" formatCode="\O\P###"/>
    <numFmt numFmtId="169" formatCode="#,##0.0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FFFFFF"/>
      <name val="Aptos Narrow"/>
      <family val="2"/>
      <scheme val="minor"/>
    </font>
    <font>
      <sz val="12"/>
      <color indexed="8"/>
      <name val="Calibri"/>
      <family val="2"/>
    </font>
    <font>
      <sz val="8"/>
      <name val="Aptos Narrow"/>
      <family val="2"/>
      <scheme val="minor"/>
    </font>
    <font>
      <sz val="12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color theme="1"/>
      <name val="Aptos Narrow"/>
      <family val="2"/>
      <scheme val="minor"/>
    </font>
    <font>
      <b/>
      <sz val="11"/>
      <color theme="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164" fontId="6" fillId="4" borderId="5" xfId="0" applyNumberFormat="1" applyFont="1" applyFill="1" applyBorder="1" applyAlignment="1">
      <alignment horizontal="left" vertical="center" wrapText="1"/>
    </xf>
    <xf numFmtId="0" fontId="7" fillId="0" borderId="0" xfId="0" applyFont="1"/>
    <xf numFmtId="0" fontId="6" fillId="0" borderId="8" xfId="0" applyFont="1" applyBorder="1" applyAlignment="1">
      <alignment horizontal="left" vertical="center"/>
    </xf>
    <xf numFmtId="0" fontId="8" fillId="5" borderId="10" xfId="0" applyFont="1" applyFill="1" applyBorder="1"/>
    <xf numFmtId="3" fontId="7" fillId="0" borderId="11" xfId="0" applyNumberFormat="1" applyFont="1" applyBorder="1" applyAlignment="1">
      <alignment horizontal="right"/>
    </xf>
    <xf numFmtId="0" fontId="7" fillId="0" borderId="11" xfId="0" applyFont="1" applyBorder="1"/>
    <xf numFmtId="0" fontId="8" fillId="5" borderId="11" xfId="0" applyFont="1" applyFill="1" applyBorder="1"/>
    <xf numFmtId="2" fontId="7" fillId="0" borderId="11" xfId="0" applyNumberFormat="1" applyFont="1" applyBorder="1" applyAlignment="1">
      <alignment horizontal="right"/>
    </xf>
    <xf numFmtId="166" fontId="7" fillId="0" borderId="11" xfId="0" applyNumberFormat="1" applyFont="1" applyBorder="1" applyAlignment="1">
      <alignment horizontal="right"/>
    </xf>
    <xf numFmtId="1" fontId="7" fillId="0" borderId="11" xfId="0" applyNumberFormat="1" applyFont="1" applyBorder="1" applyAlignment="1">
      <alignment horizontal="right"/>
    </xf>
    <xf numFmtId="0" fontId="8" fillId="5" borderId="13" xfId="0" applyFont="1" applyFill="1" applyBorder="1"/>
    <xf numFmtId="3" fontId="7" fillId="0" borderId="14" xfId="0" applyNumberFormat="1" applyFont="1" applyBorder="1" applyAlignment="1">
      <alignment horizontal="right"/>
    </xf>
    <xf numFmtId="0" fontId="7" fillId="0" borderId="14" xfId="0" applyFont="1" applyBorder="1"/>
    <xf numFmtId="0" fontId="8" fillId="5" borderId="14" xfId="0" applyFont="1" applyFill="1" applyBorder="1"/>
    <xf numFmtId="167" fontId="7" fillId="0" borderId="14" xfId="0" applyNumberFormat="1" applyFont="1" applyBorder="1" applyAlignment="1">
      <alignment horizontal="right"/>
    </xf>
    <xf numFmtId="168" fontId="9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 wrapText="1"/>
    </xf>
    <xf numFmtId="2" fontId="9" fillId="0" borderId="0" xfId="0" applyNumberFormat="1" applyFont="1" applyAlignment="1" applyProtection="1">
      <alignment horizontal="center" vertical="center" wrapText="1"/>
      <protection locked="0"/>
    </xf>
    <xf numFmtId="2" fontId="0" fillId="0" borderId="0" xfId="0" applyNumberFormat="1"/>
    <xf numFmtId="166" fontId="0" fillId="0" borderId="0" xfId="0" applyNumberFormat="1"/>
    <xf numFmtId="9" fontId="0" fillId="0" borderId="0" xfId="1" applyFont="1"/>
    <xf numFmtId="0" fontId="2" fillId="0" borderId="0" xfId="0" applyFont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 applyProtection="1">
      <alignment horizontal="left" vertical="center" wrapText="1"/>
      <protection locked="0"/>
    </xf>
    <xf numFmtId="0" fontId="9" fillId="0" borderId="0" xfId="0" applyFont="1" applyAlignment="1">
      <alignment horizontal="left" vertical="center" wrapText="1"/>
    </xf>
    <xf numFmtId="0" fontId="0" fillId="0" borderId="12" xfId="0" applyBorder="1"/>
    <xf numFmtId="168" fontId="9" fillId="0" borderId="12" xfId="0" applyNumberFormat="1" applyFont="1" applyBorder="1" applyAlignment="1">
      <alignment horizontal="center" vertical="center" wrapText="1"/>
    </xf>
    <xf numFmtId="0" fontId="9" fillId="0" borderId="12" xfId="0" applyFont="1" applyBorder="1" applyAlignment="1">
      <alignment horizontal="left" vertical="center" wrapText="1"/>
    </xf>
    <xf numFmtId="2" fontId="9" fillId="0" borderId="12" xfId="0" applyNumberFormat="1" applyFont="1" applyBorder="1" applyAlignment="1">
      <alignment horizontal="center" vertical="center" wrapText="1"/>
    </xf>
    <xf numFmtId="0" fontId="10" fillId="6" borderId="0" xfId="0" applyFont="1" applyFill="1" applyAlignment="1">
      <alignment horizontal="center" vertical="center"/>
    </xf>
    <xf numFmtId="3" fontId="7" fillId="7" borderId="11" xfId="0" applyNumberFormat="1" applyFont="1" applyFill="1" applyBorder="1" applyAlignment="1">
      <alignment horizontal="right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2" fontId="9" fillId="0" borderId="12" xfId="0" applyNumberFormat="1" applyFont="1" applyBorder="1" applyAlignment="1">
      <alignment horizontal="left" vertical="center" wrapText="1"/>
    </xf>
    <xf numFmtId="9" fontId="0" fillId="0" borderId="0" xfId="1" applyFont="1" applyAlignment="1">
      <alignment horizontal="center" vertical="center"/>
    </xf>
    <xf numFmtId="9" fontId="0" fillId="7" borderId="0" xfId="1" applyFont="1" applyFill="1" applyAlignment="1">
      <alignment horizontal="center" vertical="center"/>
    </xf>
    <xf numFmtId="9" fontId="9" fillId="0" borderId="15" xfId="1" applyFont="1" applyBorder="1" applyAlignment="1">
      <alignment horizontal="center" vertical="center" wrapText="1"/>
    </xf>
    <xf numFmtId="1" fontId="9" fillId="7" borderId="0" xfId="0" applyNumberFormat="1" applyFont="1" applyFill="1" applyAlignment="1" applyProtection="1">
      <alignment horizontal="center" vertical="center" wrapText="1"/>
      <protection locked="0"/>
    </xf>
    <xf numFmtId="169" fontId="0" fillId="0" borderId="0" xfId="0" applyNumberFormat="1"/>
    <xf numFmtId="169" fontId="2" fillId="0" borderId="0" xfId="0" applyNumberFormat="1" applyFont="1"/>
    <xf numFmtId="169" fontId="7" fillId="0" borderId="11" xfId="0" applyNumberFormat="1" applyFont="1" applyBorder="1" applyAlignment="1">
      <alignment horizontal="right"/>
    </xf>
    <xf numFmtId="20" fontId="0" fillId="0" borderId="11" xfId="0" applyNumberFormat="1" applyBorder="1"/>
    <xf numFmtId="9" fontId="7" fillId="0" borderId="0" xfId="1" applyFont="1"/>
    <xf numFmtId="167" fontId="7" fillId="0" borderId="0" xfId="1" applyNumberFormat="1" applyFont="1"/>
    <xf numFmtId="9" fontId="9" fillId="0" borderId="12" xfId="0" applyNumberFormat="1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7" fontId="0" fillId="0" borderId="0" xfId="1" applyNumberFormat="1" applyFont="1"/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3" borderId="9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3" borderId="5" xfId="0" applyFont="1" applyFill="1" applyBorder="1" applyAlignment="1">
      <alignment horizontal="left" vertical="center"/>
    </xf>
    <xf numFmtId="164" fontId="6" fillId="4" borderId="5" xfId="0" applyNumberFormat="1" applyFont="1" applyFill="1" applyBorder="1" applyAlignment="1">
      <alignment horizontal="left" vertical="center" wrapText="1"/>
    </xf>
    <xf numFmtId="165" fontId="6" fillId="3" borderId="5" xfId="0" applyNumberFormat="1" applyFont="1" applyFill="1" applyBorder="1" applyAlignment="1">
      <alignment horizontal="left" vertical="center"/>
    </xf>
    <xf numFmtId="165" fontId="6" fillId="3" borderId="6" xfId="0" applyNumberFormat="1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</cellXfs>
  <cellStyles count="2">
    <cellStyle name="Normal" xfId="0" builtinId="0"/>
    <cellStyle name="Porcentagem" xfId="1" builtinId="5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3" formatCode="0%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8" formatCode="\O\P###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rgb="FF0F9ED5"/>
        </left>
        <top style="thin">
          <color rgb="FF0F9ED5"/>
        </top>
        <bottom style="thin">
          <color rgb="FF0F9ED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</dxf>
    <dxf>
      <font>
        <sz val="10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z val="10"/>
      </font>
      <numFmt numFmtId="1" formatCode="0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sz val="10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z val="10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z val="10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z val="10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z val="10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z val="10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z val="10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z val="10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z val="10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z val="10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z val="10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z val="10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sz val="1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sz val="10"/>
      </font>
      <numFmt numFmtId="168" formatCode="\O\P###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font>
        <color auto="1"/>
      </font>
      <fill>
        <patternFill>
          <bgColor rgb="FFFF3B3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3" formatCode="0%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8" formatCode="\O\P###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8" formatCode="\O\P###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B3B"/>
      <color rgb="FFFF4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GBO - Estado atual</a:t>
            </a:r>
          </a:p>
          <a:p>
            <a:pPr>
              <a:defRPr/>
            </a:pPr>
            <a:r>
              <a:rPr lang="pt-BR"/>
              <a:t>(Com % de fadiga)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'Crono-análise de atividades'!$Z$1</c:f>
              <c:strCache>
                <c:ptCount val="1"/>
                <c:pt idx="0">
                  <c:v>Tciclo (s)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'Crono-análise de atividades'!$Y$2:$Y$7</c15:sqref>
                  </c15:fullRef>
                </c:ext>
              </c:extLst>
              <c:f>'Crono-análise de atividades'!$Y$2:$Y$6</c:f>
              <c:strCache>
                <c:ptCount val="5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  <c:pt idx="4">
                  <c:v>OP5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'Crono-análise de atividades'!$Z$2:$Z$7</c15:sqref>
                  </c15:fullRef>
                </c:ext>
              </c:extLst>
              <c:f>'Crono-análise de atividades'!$Z$2:$Z$6</c:f>
              <c:numCache>
                <c:formatCode>0.0</c:formatCode>
                <c:ptCount val="5"/>
                <c:pt idx="0">
                  <c:v>6.4732499999999993</c:v>
                </c:pt>
                <c:pt idx="1">
                  <c:v>6.488999999999999</c:v>
                </c:pt>
                <c:pt idx="2">
                  <c:v>3.7724750000000009</c:v>
                </c:pt>
                <c:pt idx="3">
                  <c:v>7.8366749999999996</c:v>
                </c:pt>
                <c:pt idx="4">
                  <c:v>6.4281059223460888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F8-4F40-8C2F-710001BAD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8660784"/>
        <c:axId val="1838675664"/>
      </c:barChart>
      <c:barChart>
        <c:barDir val="col"/>
        <c:grouping val="stacked"/>
        <c:varyColors val="0"/>
        <c:ser>
          <c:idx val="3"/>
          <c:order val="3"/>
          <c:tx>
            <c:strRef>
              <c:f>'Crono-análise de atividades'!$AD$1</c:f>
              <c:strCache>
                <c:ptCount val="1"/>
                <c:pt idx="0">
                  <c:v>Ocupação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'Crono-análise de atividades'!$Y$2:$Y$7</c15:sqref>
                  </c15:fullRef>
                </c:ext>
              </c:extLst>
              <c:f>'Crono-análise de atividades'!$Y$2:$Y$6</c:f>
              <c:strCache>
                <c:ptCount val="5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  <c:pt idx="4">
                  <c:v>OP5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'Crono-análise de atividades'!$AD$2:$AD$7</c15:sqref>
                  </c15:fullRef>
                </c:ext>
              </c:extLst>
              <c:f>'Crono-análise de atividades'!$AD$2:$AD$6</c:f>
              <c:numCache>
                <c:formatCode>0%</c:formatCode>
                <c:ptCount val="5"/>
                <c:pt idx="0">
                  <c:v>1</c:v>
                </c:pt>
                <c:pt idx="1">
                  <c:v>1.0024330900243308</c:v>
                </c:pt>
                <c:pt idx="2">
                  <c:v>0.5827791294944582</c:v>
                </c:pt>
                <c:pt idx="3">
                  <c:v>1.2106244931062451</c:v>
                </c:pt>
                <c:pt idx="4">
                  <c:v>0.99302605682556511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F8-4F40-8C2F-710001BAD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66164960"/>
        <c:axId val="2066161120"/>
      </c:barChart>
      <c:lineChart>
        <c:grouping val="standard"/>
        <c:varyColors val="0"/>
        <c:ser>
          <c:idx val="1"/>
          <c:order val="1"/>
          <c:tx>
            <c:strRef>
              <c:f>'Crono-análise de atividades'!$AA$1</c:f>
              <c:strCache>
                <c:ptCount val="1"/>
                <c:pt idx="0">
                  <c:v>Gargalo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'Crono-análise de atividades'!$Y$2:$Y$6</c15:sqref>
                  </c15:fullRef>
                </c:ext>
              </c:extLst>
              <c:f>'Crono-análise de atividades'!$Y$2:$Y$6</c:f>
              <c:strCache>
                <c:ptCount val="5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  <c:pt idx="4">
                  <c:v>OP5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'Crono-análise de atividades'!$AA$2:$AA$7</c15:sqref>
                  </c15:fullRef>
                </c:ext>
              </c:extLst>
              <c:f>'Crono-análise de atividades'!$AA$2:$AA$6</c:f>
              <c:numCache>
                <c:formatCode>0.0</c:formatCode>
                <c:ptCount val="5"/>
                <c:pt idx="0">
                  <c:v>6.4732499999999993</c:v>
                </c:pt>
                <c:pt idx="1">
                  <c:v>6.4732499999999993</c:v>
                </c:pt>
                <c:pt idx="2">
                  <c:v>6.4732499999999993</c:v>
                </c:pt>
                <c:pt idx="3">
                  <c:v>6.4732499999999993</c:v>
                </c:pt>
                <c:pt idx="4">
                  <c:v>6.4732499999999993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categoryFilterExceptions>
                <c15:categoryFilterException>
                  <c15:sqref>'Crono-análise de atividades'!$AA$7</c15:sqref>
                  <c15:dLbl>
                    <c:idx val="4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B717-4DCD-9EBD-2A7F1D11DF44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2-D8F8-4F40-8C2F-710001BAD6FA}"/>
            </c:ext>
          </c:extLst>
        </c:ser>
        <c:ser>
          <c:idx val="2"/>
          <c:order val="2"/>
          <c:tx>
            <c:strRef>
              <c:f>'Crono-análise de atividades'!$AB$1</c:f>
              <c:strCache>
                <c:ptCount val="1"/>
                <c:pt idx="0">
                  <c:v>Takt-Time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F8-4F40-8C2F-710001BAD6F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F8-4F40-8C2F-710001BAD6F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F8-4F40-8C2F-710001BAD6F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F8-4F40-8C2F-710001BAD6FA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4F-4763-8D63-8DC72D30F4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'Crono-análise de atividades'!$Y$2:$Y$6</c15:sqref>
                  </c15:fullRef>
                </c:ext>
              </c:extLst>
              <c:f>'Crono-análise de atividades'!$Y$2:$Y$6</c:f>
              <c:strCache>
                <c:ptCount val="5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  <c:pt idx="4">
                  <c:v>OP5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'Crono-análise de atividades'!$AB$2:$AB$7</c15:sqref>
                  </c15:fullRef>
                </c:ext>
              </c:extLst>
              <c:f>'Crono-análise de atividades'!$AB$2:$AB$6</c:f>
              <c:numCache>
                <c:formatCode>0.00</c:formatCode>
                <c:ptCount val="5"/>
                <c:pt idx="0">
                  <c:v>8.2173913043478244</c:v>
                </c:pt>
                <c:pt idx="1">
                  <c:v>8.2173913043478244</c:v>
                </c:pt>
                <c:pt idx="2">
                  <c:v>8.2173913043478244</c:v>
                </c:pt>
                <c:pt idx="3">
                  <c:v>8.2173913043478244</c:v>
                </c:pt>
                <c:pt idx="4">
                  <c:v>8.2173913043478244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8F8-4F40-8C2F-710001BAD6FA}"/>
            </c:ext>
          </c:extLst>
        </c:ser>
        <c:ser>
          <c:idx val="4"/>
          <c:order val="4"/>
          <c:tx>
            <c:strRef>
              <c:f>'Crono-análise de atividades'!$AC$1</c:f>
              <c:strCache>
                <c:ptCount val="1"/>
                <c:pt idx="0">
                  <c:v>Tgargalo MÁX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OP1</c:v>
              </c:pt>
              <c:pt idx="1">
                <c:v>OP2</c:v>
              </c:pt>
              <c:pt idx="2">
                <c:v>OP3</c:v>
              </c:pt>
              <c:pt idx="3">
                <c:v>OP4</c:v>
              </c:pt>
              <c:pt idx="4">
                <c:v>OP5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'Crono-análise de atividades'!$AC$2:$AC$7</c15:sqref>
                  </c15:fullRef>
                </c:ext>
              </c:extLst>
              <c:f>'Crono-análise de atividades'!$AC$2:$AC$6</c:f>
              <c:numCache>
                <c:formatCode>0.00</c:formatCode>
                <c:ptCount val="5"/>
                <c:pt idx="0">
                  <c:v>6.4095652173913038</c:v>
                </c:pt>
                <c:pt idx="1">
                  <c:v>6.4095652173913038</c:v>
                </c:pt>
                <c:pt idx="2">
                  <c:v>6.4095652173913038</c:v>
                </c:pt>
                <c:pt idx="3">
                  <c:v>6.4095652173913038</c:v>
                </c:pt>
                <c:pt idx="4">
                  <c:v>6.4095652173913038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categoryFilterExceptions>
                <c15:categoryFilterException>
                  <c15:sqref>'Crono-análise de atividades'!$AC$7</c15:sqref>
                  <c15:dLbl>
                    <c:idx val="4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1-B717-4DCD-9EBD-2A7F1D11DF44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D94F-4763-8D63-8DC72D30F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8660784"/>
        <c:axId val="1838675664"/>
      </c:lineChart>
      <c:catAx>
        <c:axId val="183866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8675664"/>
        <c:crosses val="autoZero"/>
        <c:auto val="1"/>
        <c:lblAlgn val="ctr"/>
        <c:lblOffset val="100"/>
        <c:noMultiLvlLbl val="0"/>
      </c:catAx>
      <c:valAx>
        <c:axId val="1838675664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1838660784"/>
        <c:crosses val="autoZero"/>
        <c:crossBetween val="between"/>
      </c:valAx>
      <c:valAx>
        <c:axId val="2066161120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2066164960"/>
        <c:crosses val="max"/>
        <c:crossBetween val="between"/>
      </c:valAx>
      <c:catAx>
        <c:axId val="2066164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6161120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YAMAZUMI - Estado atual</a:t>
            </a:r>
          </a:p>
          <a:p>
            <a:pPr>
              <a:defRPr/>
            </a:pPr>
            <a:r>
              <a:rPr lang="pt-BR"/>
              <a:t>(Sem % de fadiga)</a:t>
            </a:r>
          </a:p>
        </c:rich>
      </c:tx>
      <c:layout>
        <c:manualLayout>
          <c:xMode val="edge"/>
          <c:yMode val="edge"/>
          <c:x val="0.38131009764966212"/>
          <c:y val="2.35376755711361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'Crono-análise de atividades'!$AJ$16</c:f>
              <c:strCache>
                <c:ptCount val="1"/>
                <c:pt idx="0">
                  <c:v>Agrega valor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'Crono-análise de atividades'!$AI$19:$AI$24</c15:sqref>
                  </c15:fullRef>
                </c:ext>
              </c:extLst>
              <c:f>'Crono-análise de atividades'!$AI$19:$AI$23</c:f>
              <c:strCache>
                <c:ptCount val="5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  <c:pt idx="4">
                  <c:v>OP5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'Crono-análise de atividades'!$AJ$19:$AJ$24</c15:sqref>
                  </c15:fullRef>
                </c:ext>
              </c:extLst>
              <c:f>'Crono-análise de atividades'!$AJ$19:$AJ$23</c:f>
              <c:numCache>
                <c:formatCode>#,##0.0</c:formatCode>
                <c:ptCount val="5"/>
                <c:pt idx="0">
                  <c:v>0.46500000000000008</c:v>
                </c:pt>
                <c:pt idx="1">
                  <c:v>0.57000000000000006</c:v>
                </c:pt>
                <c:pt idx="2">
                  <c:v>1.3892500000000001</c:v>
                </c:pt>
                <c:pt idx="3">
                  <c:v>1.9376249999999997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82-4208-9374-30965E3BD2A7}"/>
            </c:ext>
          </c:extLst>
        </c:ser>
        <c:ser>
          <c:idx val="1"/>
          <c:order val="1"/>
          <c:tx>
            <c:strRef>
              <c:f>'Crono-análise de atividades'!$AK$16</c:f>
              <c:strCache>
                <c:ptCount val="1"/>
                <c:pt idx="0">
                  <c:v>Necessário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'Crono-análise de atividades'!$AI$19:$AI$24</c15:sqref>
                  </c15:fullRef>
                </c:ext>
              </c:extLst>
              <c:f>'Crono-análise de atividades'!$AI$19:$AI$23</c:f>
              <c:strCache>
                <c:ptCount val="5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  <c:pt idx="4">
                  <c:v>OP5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'Crono-análise de atividades'!$AK$19:$AK$24</c15:sqref>
                  </c15:fullRef>
                </c:ext>
              </c:extLst>
              <c:f>'Crono-análise de atividades'!$AK$19:$AK$23</c:f>
              <c:numCache>
                <c:formatCode>#,##0.0</c:formatCode>
                <c:ptCount val="5"/>
                <c:pt idx="0">
                  <c:v>4.415</c:v>
                </c:pt>
                <c:pt idx="1">
                  <c:v>5.6099999999999985</c:v>
                </c:pt>
                <c:pt idx="2">
                  <c:v>1.0035833333333335</c:v>
                </c:pt>
                <c:pt idx="3">
                  <c:v>2.4366250000000003</c:v>
                </c:pt>
                <c:pt idx="4">
                  <c:v>4.2954351015569845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82-4208-9374-30965E3BD2A7}"/>
            </c:ext>
          </c:extLst>
        </c:ser>
        <c:ser>
          <c:idx val="2"/>
          <c:order val="2"/>
          <c:tx>
            <c:strRef>
              <c:f>'Crono-análise de atividades'!$AL$16</c:f>
              <c:strCache>
                <c:ptCount val="1"/>
                <c:pt idx="0">
                  <c:v>Desperdício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'Crono-análise de atividades'!$AI$19:$AI$24</c15:sqref>
                  </c15:fullRef>
                </c:ext>
              </c:extLst>
              <c:f>'Crono-análise de atividades'!$AI$19:$AI$23</c:f>
              <c:strCache>
                <c:ptCount val="5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  <c:pt idx="4">
                  <c:v>OP5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'Crono-análise de atividades'!$AL$19:$AL$24</c15:sqref>
                  </c15:fullRef>
                </c:ext>
              </c:extLst>
              <c:f>'Crono-análise de atividades'!$AL$19:$AL$23</c:f>
              <c:numCache>
                <c:formatCode>#,##0.0</c:formatCode>
                <c:ptCount val="5"/>
                <c:pt idx="0">
                  <c:v>1.2849999999999999</c:v>
                </c:pt>
                <c:pt idx="1">
                  <c:v>0</c:v>
                </c:pt>
                <c:pt idx="2">
                  <c:v>1.2</c:v>
                </c:pt>
                <c:pt idx="3">
                  <c:v>3.0892499999999998</c:v>
                </c:pt>
                <c:pt idx="4">
                  <c:v>1.2942222222222224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82-4208-9374-30965E3BD2A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19214720"/>
        <c:axId val="1919194560"/>
      </c:barChart>
      <c:lineChart>
        <c:grouping val="standard"/>
        <c:varyColors val="0"/>
        <c:ser>
          <c:idx val="3"/>
          <c:order val="3"/>
          <c:tx>
            <c:strRef>
              <c:f>'Crono-análise de atividades'!$AA$1</c:f>
              <c:strCache>
                <c:ptCount val="1"/>
                <c:pt idx="0">
                  <c:v>Gargalo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82-4208-9374-30965E3BD2A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82-4208-9374-30965E3BD2A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82-4208-9374-30965E3BD2A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182-4208-9374-30965E3BD2A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3A-4957-AB5F-3728F3B7DF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'Crono-análise de atividades'!$AI$19:$AI$24</c15:sqref>
                  </c15:fullRef>
                </c:ext>
              </c:extLst>
              <c:f>'Crono-análise de atividades'!$AI$19:$AI$23</c:f>
              <c:strCache>
                <c:ptCount val="5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  <c:pt idx="4">
                  <c:v>OP5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'Crono-análise de atividades'!$AA$2:$AA$7</c15:sqref>
                  </c15:fullRef>
                </c:ext>
              </c:extLst>
              <c:f>'Crono-análise de atividades'!$AA$2:$AA$6</c:f>
              <c:numCache>
                <c:formatCode>0.0</c:formatCode>
                <c:ptCount val="5"/>
                <c:pt idx="0">
                  <c:v>6.4732499999999993</c:v>
                </c:pt>
                <c:pt idx="1">
                  <c:v>6.4732499999999993</c:v>
                </c:pt>
                <c:pt idx="2">
                  <c:v>6.4732499999999993</c:v>
                </c:pt>
                <c:pt idx="3">
                  <c:v>6.4732499999999993</c:v>
                </c:pt>
                <c:pt idx="4">
                  <c:v>6.4732499999999993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82-4208-9374-30965E3BD2A7}"/>
            </c:ext>
          </c:extLst>
        </c:ser>
        <c:ser>
          <c:idx val="4"/>
          <c:order val="4"/>
          <c:tx>
            <c:strRef>
              <c:f>'Crono-análise de atividades'!$AB$1</c:f>
              <c:strCache>
                <c:ptCount val="1"/>
                <c:pt idx="0">
                  <c:v>Takt-Time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82-4208-9374-30965E3BD2A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82-4208-9374-30965E3BD2A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82-4208-9374-30965E3BD2A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182-4208-9374-30965E3BD2A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43A-4957-AB5F-3728F3B7DF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'Crono-análise de atividades'!$AI$19:$AI$24</c15:sqref>
                  </c15:fullRef>
                </c:ext>
              </c:extLst>
              <c:f>'Crono-análise de atividades'!$AI$19:$AI$23</c:f>
              <c:strCache>
                <c:ptCount val="5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  <c:pt idx="4">
                  <c:v>OP5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'Crono-análise de atividades'!$AB$2:$AB$7</c15:sqref>
                  </c15:fullRef>
                </c:ext>
              </c:extLst>
              <c:f>'Crono-análise de atividades'!$AB$2:$AB$6</c:f>
              <c:numCache>
                <c:formatCode>0.00</c:formatCode>
                <c:ptCount val="5"/>
                <c:pt idx="0">
                  <c:v>8.2173913043478244</c:v>
                </c:pt>
                <c:pt idx="1">
                  <c:v>8.2173913043478244</c:v>
                </c:pt>
                <c:pt idx="2">
                  <c:v>8.2173913043478244</c:v>
                </c:pt>
                <c:pt idx="3">
                  <c:v>8.2173913043478244</c:v>
                </c:pt>
                <c:pt idx="4">
                  <c:v>8.2173913043478244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82-4208-9374-30965E3BD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9214720"/>
        <c:axId val="1919194560"/>
      </c:lineChart>
      <c:catAx>
        <c:axId val="191921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9194560"/>
        <c:crosses val="autoZero"/>
        <c:auto val="1"/>
        <c:lblAlgn val="ctr"/>
        <c:lblOffset val="100"/>
        <c:noMultiLvlLbl val="0"/>
      </c:catAx>
      <c:valAx>
        <c:axId val="1919194560"/>
        <c:scaling>
          <c:orientation val="minMax"/>
        </c:scaling>
        <c:delete val="1"/>
        <c:axPos val="l"/>
        <c:numFmt formatCode="#,##0.0" sourceLinked="1"/>
        <c:majorTickMark val="none"/>
        <c:minorTickMark val="none"/>
        <c:tickLblPos val="nextTo"/>
        <c:crossAx val="191921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Valor das atividades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FB-49A9-9BE8-A40EC04B87A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FB-49A9-9BE8-A40EC04B87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FFB-49A9-9BE8-A40EC04B87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'Crono-análise de atividades'!$AJ$16:$AL$16</c:f>
              <c:strCache>
                <c:ptCount val="3"/>
                <c:pt idx="0">
                  <c:v>Agrega valor</c:v>
                </c:pt>
                <c:pt idx="1">
                  <c:v>Necessário</c:v>
                </c:pt>
                <c:pt idx="2">
                  <c:v>Desperdício</c:v>
                </c:pt>
              </c:strCache>
            </c:strRef>
          </c:cat>
          <c:val>
            <c:numRef>
              <c:f>'Crono-análise de atividades'!$AJ$25:$AL$25</c:f>
              <c:numCache>
                <c:formatCode>#,##0.0</c:formatCode>
                <c:ptCount val="3"/>
                <c:pt idx="0">
                  <c:v>4.3618749999999995</c:v>
                </c:pt>
                <c:pt idx="1">
                  <c:v>17.760643434890319</c:v>
                </c:pt>
                <c:pt idx="2">
                  <c:v>6.8684722222222216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FB-49A9-9BE8-A40EC04B87A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GBO - Estado atual</a:t>
            </a:r>
          </a:p>
          <a:p>
            <a:pPr>
              <a:defRPr/>
            </a:pPr>
            <a:r>
              <a:rPr lang="pt-BR"/>
              <a:t>(Com % de fadiga)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GBO!$Z$1</c:f>
              <c:strCache>
                <c:ptCount val="1"/>
                <c:pt idx="0">
                  <c:v>Tciclo (s)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GBO!$Y$2:$Y$5</c:f>
              <c:strCache>
                <c:ptCount val="4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</c:strCache>
            </c:strRef>
          </c:cat>
          <c:val>
            <c:numRef>
              <c:f>GBO!$Z$2:$Z$5</c:f>
              <c:numCache>
                <c:formatCode>0.0</c:formatCode>
                <c:ptCount val="4"/>
                <c:pt idx="0">
                  <c:v>5.4589999999999996</c:v>
                </c:pt>
                <c:pt idx="1">
                  <c:v>5.6856000000000009</c:v>
                </c:pt>
                <c:pt idx="2">
                  <c:v>3.7567250000000003</c:v>
                </c:pt>
                <c:pt idx="3">
                  <c:v>10.162914543492583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3-452C-9DB9-522965B51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8660784"/>
        <c:axId val="1838675664"/>
      </c:barChart>
      <c:barChart>
        <c:barDir val="col"/>
        <c:grouping val="stacked"/>
        <c:varyColors val="0"/>
        <c:ser>
          <c:idx val="3"/>
          <c:order val="3"/>
          <c:tx>
            <c:strRef>
              <c:f>GBO!$AC$1</c:f>
              <c:strCache>
                <c:ptCount val="1"/>
                <c:pt idx="0">
                  <c:v>Ocupação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GBO!$Y$2:$Y$7</c:f>
              <c:strCache>
                <c:ptCount val="4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</c:strCache>
            </c:strRef>
          </c:cat>
          <c:val>
            <c:numRef>
              <c:f>GBO!$AC$2:$AC$5</c:f>
              <c:numCache>
                <c:formatCode>0%</c:formatCode>
                <c:ptCount val="4"/>
                <c:pt idx="0">
                  <c:v>0.85296874999999994</c:v>
                </c:pt>
                <c:pt idx="1">
                  <c:v>0.88837500000000014</c:v>
                </c:pt>
                <c:pt idx="2">
                  <c:v>0.58698828125000002</c:v>
                </c:pt>
                <c:pt idx="3">
                  <c:v>1.5879553974207161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13-452C-9DB9-522965B51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66164960"/>
        <c:axId val="2066161120"/>
      </c:barChart>
      <c:lineChart>
        <c:grouping val="standard"/>
        <c:varyColors val="0"/>
        <c:ser>
          <c:idx val="1"/>
          <c:order val="1"/>
          <c:tx>
            <c:strRef>
              <c:f>GBO!$AA$1</c:f>
              <c:strCache>
                <c:ptCount val="1"/>
                <c:pt idx="0">
                  <c:v>Gargalo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GBO!$Y$2:$Y$5</c:f>
              <c:strCache>
                <c:ptCount val="4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</c:strCache>
            </c:strRef>
          </c:cat>
          <c:val>
            <c:numRef>
              <c:f>GBO!$AE$2:$AE$5</c:f>
              <c:numCache>
                <c:formatCode>General</c:formatCode>
                <c:ptCount val="4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13-452C-9DB9-522965B5106D}"/>
            </c:ext>
          </c:extLst>
        </c:ser>
        <c:ser>
          <c:idx val="2"/>
          <c:order val="2"/>
          <c:tx>
            <c:strRef>
              <c:f>GBO!$AB$1</c:f>
              <c:strCache>
                <c:ptCount val="1"/>
                <c:pt idx="0">
                  <c:v>Takt-Time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GBO!$Y$2:$Y$5</c:f>
              <c:strCache>
                <c:ptCount val="4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</c:strCache>
            </c:strRef>
          </c:cat>
          <c:val>
            <c:numRef>
              <c:f>GBO!$AB$2:$AB$5</c:f>
              <c:numCache>
                <c:formatCode>0.00</c:formatCode>
                <c:ptCount val="4"/>
                <c:pt idx="0">
                  <c:v>8.2173913043478244</c:v>
                </c:pt>
                <c:pt idx="1">
                  <c:v>8.2173913043478244</c:v>
                </c:pt>
                <c:pt idx="2">
                  <c:v>8.2173913043478244</c:v>
                </c:pt>
                <c:pt idx="3">
                  <c:v>8.2173913043478244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13-452C-9DB9-522965B51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8660784"/>
        <c:axId val="1838675664"/>
      </c:lineChart>
      <c:catAx>
        <c:axId val="183866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8675664"/>
        <c:crosses val="autoZero"/>
        <c:auto val="1"/>
        <c:lblAlgn val="ctr"/>
        <c:lblOffset val="100"/>
        <c:noMultiLvlLbl val="0"/>
      </c:catAx>
      <c:valAx>
        <c:axId val="1838675664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1838660784"/>
        <c:crosses val="autoZero"/>
        <c:crossBetween val="between"/>
      </c:valAx>
      <c:valAx>
        <c:axId val="2066161120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2066164960"/>
        <c:crosses val="max"/>
        <c:crossBetween val="between"/>
      </c:valAx>
      <c:catAx>
        <c:axId val="2066164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6161120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YAMAZUMI - Estado atual</a:t>
            </a:r>
          </a:p>
          <a:p>
            <a:pPr>
              <a:defRPr/>
            </a:pPr>
            <a:r>
              <a:rPr lang="pt-BR"/>
              <a:t>(Sem % de fadiga)</a:t>
            </a:r>
          </a:p>
        </c:rich>
      </c:tx>
      <c:layout>
        <c:manualLayout>
          <c:xMode val="edge"/>
          <c:yMode val="edge"/>
          <c:x val="0.38131009764966212"/>
          <c:y val="2.35376755711361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GBO!$AJ$16</c:f>
              <c:strCache>
                <c:ptCount val="1"/>
                <c:pt idx="0">
                  <c:v>Agrega valor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GBO!$AI$17:$AI$20</c:f>
              <c:strCache>
                <c:ptCount val="4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</c:strCache>
            </c:strRef>
          </c:cat>
          <c:val>
            <c:numRef>
              <c:f>GBO!$AJ$17:$AJ$20</c:f>
              <c:numCache>
                <c:formatCode>#,##0.0</c:formatCode>
                <c:ptCount val="4"/>
                <c:pt idx="0">
                  <c:v>0.46500000000000008</c:v>
                </c:pt>
                <c:pt idx="1">
                  <c:v>0.44999999999999996</c:v>
                </c:pt>
                <c:pt idx="2">
                  <c:v>1.3892500000000001</c:v>
                </c:pt>
                <c:pt idx="3">
                  <c:v>1.9376249999999997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51-4BDE-9841-628E4E7F7F8A}"/>
            </c:ext>
          </c:extLst>
        </c:ser>
        <c:ser>
          <c:idx val="1"/>
          <c:order val="1"/>
          <c:tx>
            <c:strRef>
              <c:f>GBO!$AK$16</c:f>
              <c:strCache>
                <c:ptCount val="1"/>
                <c:pt idx="0">
                  <c:v>Necessário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GBO!$AI$17:$AI$20</c:f>
              <c:strCache>
                <c:ptCount val="4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</c:strCache>
            </c:strRef>
          </c:cat>
          <c:val>
            <c:numRef>
              <c:f>GBO!$AK$17:$AK$20</c:f>
              <c:numCache>
                <c:formatCode>#,##0.0</c:formatCode>
                <c:ptCount val="4"/>
                <c:pt idx="0">
                  <c:v>4.2350000000000003</c:v>
                </c:pt>
                <c:pt idx="1">
                  <c:v>5.07</c:v>
                </c:pt>
                <c:pt idx="2">
                  <c:v>0.98858333333333326</c:v>
                </c:pt>
                <c:pt idx="3">
                  <c:v>6.052060101556985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51-4BDE-9841-628E4E7F7F8A}"/>
            </c:ext>
          </c:extLst>
        </c:ser>
        <c:ser>
          <c:idx val="2"/>
          <c:order val="2"/>
          <c:tx>
            <c:strRef>
              <c:f>GBO!$AL$16</c:f>
              <c:strCache>
                <c:ptCount val="1"/>
                <c:pt idx="0">
                  <c:v>Desperdício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GBO!$AI$17:$AI$20</c:f>
              <c:strCache>
                <c:ptCount val="4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</c:strCache>
            </c:strRef>
          </c:cat>
          <c:val>
            <c:numRef>
              <c:f>GBO!$AL$17:$AL$20</c:f>
              <c:numCache>
                <c:formatCode>#,##0.0</c:formatCode>
                <c:ptCount val="4"/>
                <c:pt idx="0">
                  <c:v>0.59999999999999987</c:v>
                </c:pt>
                <c:pt idx="1">
                  <c:v>0</c:v>
                </c:pt>
                <c:pt idx="2">
                  <c:v>1.2</c:v>
                </c:pt>
                <c:pt idx="3">
                  <c:v>1.8772222222222226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51-4BDE-9841-628E4E7F7F8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19214720"/>
        <c:axId val="1919194560"/>
      </c:barChart>
      <c:lineChart>
        <c:grouping val="standard"/>
        <c:varyColors val="0"/>
        <c:ser>
          <c:idx val="3"/>
          <c:order val="3"/>
          <c:tx>
            <c:strRef>
              <c:f>'Crono-análise de atividades'!$AA$1</c:f>
              <c:strCache>
                <c:ptCount val="1"/>
                <c:pt idx="0">
                  <c:v>Gargalo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'Crono-análise de atividades'!$AI$19:$AI$24</c:f>
              <c:strCache>
                <c:ptCount val="5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  <c:pt idx="4">
                  <c:v>OP5</c:v>
                </c:pt>
              </c:strCache>
            </c:strRef>
          </c:cat>
          <c:val>
            <c:numRef>
              <c:f>'Crono-análise de atividades'!$AA$2:$AA$5</c:f>
              <c:numCache>
                <c:formatCode>0.0</c:formatCode>
                <c:ptCount val="4"/>
                <c:pt idx="0">
                  <c:v>6.4732499999999993</c:v>
                </c:pt>
                <c:pt idx="1">
                  <c:v>6.4732499999999993</c:v>
                </c:pt>
                <c:pt idx="2">
                  <c:v>6.4732499999999993</c:v>
                </c:pt>
                <c:pt idx="3">
                  <c:v>6.4732499999999993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51-4BDE-9841-628E4E7F7F8A}"/>
            </c:ext>
          </c:extLst>
        </c:ser>
        <c:ser>
          <c:idx val="4"/>
          <c:order val="4"/>
          <c:tx>
            <c:strRef>
              <c:f>'Crono-análise de atividades'!$AB$1</c:f>
              <c:strCache>
                <c:ptCount val="1"/>
                <c:pt idx="0">
                  <c:v>Takt-Time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'Crono-análise de atividades'!$AI$19:$AI$24</c:f>
              <c:strCache>
                <c:ptCount val="5"/>
                <c:pt idx="0">
                  <c:v>OP1</c:v>
                </c:pt>
                <c:pt idx="1">
                  <c:v>OP2</c:v>
                </c:pt>
                <c:pt idx="2">
                  <c:v>OP3</c:v>
                </c:pt>
                <c:pt idx="3">
                  <c:v>OP4</c:v>
                </c:pt>
                <c:pt idx="4">
                  <c:v>OP5</c:v>
                </c:pt>
              </c:strCache>
            </c:strRef>
          </c:cat>
          <c:val>
            <c:numRef>
              <c:f>'Crono-análise de atividades'!$AB$2:$AB$5</c:f>
              <c:numCache>
                <c:formatCode>0.00</c:formatCode>
                <c:ptCount val="4"/>
                <c:pt idx="0">
                  <c:v>8.2173913043478244</c:v>
                </c:pt>
                <c:pt idx="1">
                  <c:v>8.2173913043478244</c:v>
                </c:pt>
                <c:pt idx="2">
                  <c:v>8.2173913043478244</c:v>
                </c:pt>
                <c:pt idx="3">
                  <c:v>8.2173913043478244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351-4BDE-9841-628E4E7F7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9214720"/>
        <c:axId val="1919194560"/>
      </c:lineChart>
      <c:catAx>
        <c:axId val="191921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9194560"/>
        <c:crosses val="autoZero"/>
        <c:auto val="1"/>
        <c:lblAlgn val="ctr"/>
        <c:lblOffset val="100"/>
        <c:noMultiLvlLbl val="0"/>
      </c:catAx>
      <c:valAx>
        <c:axId val="1919194560"/>
        <c:scaling>
          <c:orientation val="minMax"/>
        </c:scaling>
        <c:delete val="1"/>
        <c:axPos val="l"/>
        <c:numFmt formatCode="#,##0.0" sourceLinked="1"/>
        <c:majorTickMark val="none"/>
        <c:minorTickMark val="none"/>
        <c:tickLblPos val="nextTo"/>
        <c:crossAx val="191921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Valor das atividades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chemeClr val="accent3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E1-4221-8843-331903471F07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E1-4221-8843-331903471F07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FE1-4221-8843-331903471F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'Crono-análise de atividades'!$AJ$16:$AL$16</c:f>
              <c:strCache>
                <c:ptCount val="3"/>
                <c:pt idx="0">
                  <c:v>Agrega valor</c:v>
                </c:pt>
                <c:pt idx="1">
                  <c:v>Necessário</c:v>
                </c:pt>
                <c:pt idx="2">
                  <c:v>Desperdício</c:v>
                </c:pt>
              </c:strCache>
            </c:strRef>
          </c:cat>
          <c:val>
            <c:numRef>
              <c:f>GBO!$AJ$23:$AL$23</c:f>
              <c:numCache>
                <c:formatCode>#,##0.0</c:formatCode>
                <c:ptCount val="3"/>
                <c:pt idx="0">
                  <c:v>4.2418750000000003</c:v>
                </c:pt>
                <c:pt idx="1">
                  <c:v>16.345643434890317</c:v>
                </c:pt>
                <c:pt idx="2">
                  <c:v>3.6772222222222224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FE1-4221-8843-331903471F0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190500</xdr:colOff>
      <xdr:row>0</xdr:row>
      <xdr:rowOff>72839</xdr:rowOff>
    </xdr:from>
    <xdr:to>
      <xdr:col>13</xdr:col>
      <xdr:colOff>582706</xdr:colOff>
      <xdr:row>2</xdr:row>
      <xdr:rowOff>128868</xdr:rowOff>
    </xdr:to>
    <xdr:sp macro="[0]!CopiarUnicos" textlink="">
      <xdr:nvSpPr>
        <xdr:cNvPr id="7" name="Retângulo 6">
          <a:extLst>
            <a:ext uri="{FF2B5EF4-FFF2-40B4-BE49-F238E27FC236}">
              <a16:creationId xmlns:a16="http://schemas.microsoft.com/office/drawing/2014/main" id="{EE990F91-BA82-98AB-E52F-9976E9FBDCA2}"/>
            </a:ext>
          </a:extLst>
        </xdr:cNvPr>
        <xdr:cNvSpPr/>
      </xdr:nvSpPr>
      <xdr:spPr>
        <a:xfrm>
          <a:off x="19050000" y="72839"/>
          <a:ext cx="1098177" cy="45944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PASSAR DADOS PARA PAINEL</a:t>
          </a:r>
        </a:p>
      </xdr:txBody>
    </xdr:sp>
    <xdr:clientData/>
  </xdr:twoCellAnchor>
  <xdr:twoCellAnchor>
    <xdr:from>
      <xdr:col>12</xdr:col>
      <xdr:colOff>190500</xdr:colOff>
      <xdr:row>3</xdr:row>
      <xdr:rowOff>84044</xdr:rowOff>
    </xdr:from>
    <xdr:to>
      <xdr:col>13</xdr:col>
      <xdr:colOff>582706</xdr:colOff>
      <xdr:row>5</xdr:row>
      <xdr:rowOff>162485</xdr:rowOff>
    </xdr:to>
    <xdr:sp macro="[0]!CopiarCronoAnaliseParaGBO" textlink="">
      <xdr:nvSpPr>
        <xdr:cNvPr id="8" name="Retângulo 7">
          <a:extLst>
            <a:ext uri="{FF2B5EF4-FFF2-40B4-BE49-F238E27FC236}">
              <a16:creationId xmlns:a16="http://schemas.microsoft.com/office/drawing/2014/main" id="{D9912E73-395B-9C45-A9DC-C0F7B2B4D6DF}"/>
            </a:ext>
          </a:extLst>
        </xdr:cNvPr>
        <xdr:cNvSpPr/>
      </xdr:nvSpPr>
      <xdr:spPr>
        <a:xfrm>
          <a:off x="19924059" y="700368"/>
          <a:ext cx="1098176" cy="45944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PASSAR DADOS PARA GBO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9</xdr:col>
      <xdr:colOff>219635</xdr:colOff>
      <xdr:row>3</xdr:row>
      <xdr:rowOff>78443</xdr:rowOff>
    </xdr:to>
    <xdr:sp macro="[0]!LimparDados" textlink="">
      <xdr:nvSpPr>
        <xdr:cNvPr id="3" name="Retângulo 2">
          <a:extLst>
            <a:ext uri="{FF2B5EF4-FFF2-40B4-BE49-F238E27FC236}">
              <a16:creationId xmlns:a16="http://schemas.microsoft.com/office/drawing/2014/main" id="{77F8B083-02C5-488E-8EE1-00E34E7294A8}"/>
            </a:ext>
          </a:extLst>
        </xdr:cNvPr>
        <xdr:cNvSpPr/>
      </xdr:nvSpPr>
      <xdr:spPr>
        <a:xfrm>
          <a:off x="11277600" y="190500"/>
          <a:ext cx="829235" cy="45944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 DADOS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2577353</xdr:colOff>
      <xdr:row>39</xdr:row>
      <xdr:rowOff>22412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2B18155A-504B-05E2-8565-EAE9DAB733F4}"/>
            </a:ext>
          </a:extLst>
        </xdr:cNvPr>
        <xdr:cNvSpPr/>
      </xdr:nvSpPr>
      <xdr:spPr>
        <a:xfrm>
          <a:off x="0" y="0"/>
          <a:ext cx="11049000" cy="745191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89648</xdr:colOff>
      <xdr:row>7</xdr:row>
      <xdr:rowOff>78439</xdr:rowOff>
    </xdr:from>
    <xdr:to>
      <xdr:col>12</xdr:col>
      <xdr:colOff>28236</xdr:colOff>
      <xdr:row>22</xdr:row>
      <xdr:rowOff>100939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6C40723-CBF7-4873-AA6D-DCBA7EF2F0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78440</xdr:colOff>
      <xdr:row>23</xdr:row>
      <xdr:rowOff>11751</xdr:rowOff>
    </xdr:from>
    <xdr:to>
      <xdr:col>12</xdr:col>
      <xdr:colOff>17028</xdr:colOff>
      <xdr:row>38</xdr:row>
      <xdr:rowOff>34251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C639AA9-00AE-4C77-99FB-AD4B3B629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123265</xdr:colOff>
      <xdr:row>0</xdr:row>
      <xdr:rowOff>78441</xdr:rowOff>
    </xdr:from>
    <xdr:to>
      <xdr:col>14</xdr:col>
      <xdr:colOff>2386853</xdr:colOff>
      <xdr:row>6</xdr:row>
      <xdr:rowOff>123265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492C3B4-221B-F564-9F0F-4E97D1B0870A}"/>
            </a:ext>
          </a:extLst>
        </xdr:cNvPr>
        <xdr:cNvSpPr/>
      </xdr:nvSpPr>
      <xdr:spPr>
        <a:xfrm>
          <a:off x="123265" y="78441"/>
          <a:ext cx="10735235" cy="1187824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22413</xdr:colOff>
      <xdr:row>0</xdr:row>
      <xdr:rowOff>0</xdr:rowOff>
    </xdr:from>
    <xdr:to>
      <xdr:col>12</xdr:col>
      <xdr:colOff>593913</xdr:colOff>
      <xdr:row>6</xdr:row>
      <xdr:rowOff>123264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328B201-8D20-28D0-906C-71FB6A4276F0}"/>
            </a:ext>
          </a:extLst>
        </xdr:cNvPr>
        <xdr:cNvSpPr txBox="1"/>
      </xdr:nvSpPr>
      <xdr:spPr>
        <a:xfrm>
          <a:off x="3048001" y="0"/>
          <a:ext cx="4807324" cy="12662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/>
            <a:t>PAINÉL DE INDICADORES</a:t>
          </a:r>
          <a:r>
            <a:rPr lang="pt-BR" sz="2400" b="1" baseline="0"/>
            <a:t> </a:t>
          </a:r>
        </a:p>
        <a:p>
          <a:pPr algn="ctr"/>
          <a:r>
            <a:rPr lang="pt-BR" sz="2400" b="1" baseline="0"/>
            <a:t>ESTUDO DO ESTADO ATUAL</a:t>
          </a:r>
          <a:endParaRPr lang="pt-BR" sz="2400" b="1"/>
        </a:p>
      </xdr:txBody>
    </xdr:sp>
    <xdr:clientData/>
  </xdr:twoCellAnchor>
  <xdr:twoCellAnchor editAs="oneCell">
    <xdr:from>
      <xdr:col>0</xdr:col>
      <xdr:colOff>291354</xdr:colOff>
      <xdr:row>2</xdr:row>
      <xdr:rowOff>56030</xdr:rowOff>
    </xdr:from>
    <xdr:to>
      <xdr:col>4</xdr:col>
      <xdr:colOff>316060</xdr:colOff>
      <xdr:row>4</xdr:row>
      <xdr:rowOff>168089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C9AB333A-8FB8-8A4A-1C70-4E565F614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4" y="437030"/>
          <a:ext cx="2445177" cy="493059"/>
        </a:xfrm>
        <a:prstGeom prst="rect">
          <a:avLst/>
        </a:prstGeom>
      </xdr:spPr>
    </xdr:pic>
    <xdr:clientData/>
  </xdr:twoCellAnchor>
  <xdr:twoCellAnchor>
    <xdr:from>
      <xdr:col>12</xdr:col>
      <xdr:colOff>173692</xdr:colOff>
      <xdr:row>7</xdr:row>
      <xdr:rowOff>89646</xdr:rowOff>
    </xdr:from>
    <xdr:to>
      <xdr:col>14</xdr:col>
      <xdr:colOff>2403663</xdr:colOff>
      <xdr:row>22</xdr:row>
      <xdr:rowOff>112059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58D43D14-72C8-79CC-F289-B6D2B39C1D7C}"/>
            </a:ext>
          </a:extLst>
        </xdr:cNvPr>
        <xdr:cNvSpPr/>
      </xdr:nvSpPr>
      <xdr:spPr>
        <a:xfrm>
          <a:off x="7435104" y="1423146"/>
          <a:ext cx="3440206" cy="2879913"/>
        </a:xfrm>
        <a:prstGeom prst="roundRect">
          <a:avLst>
            <a:gd name="adj" fmla="val 3223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291354</xdr:colOff>
      <xdr:row>10</xdr:row>
      <xdr:rowOff>33618</xdr:rowOff>
    </xdr:from>
    <xdr:to>
      <xdr:col>14</xdr:col>
      <xdr:colOff>2286002</xdr:colOff>
      <xdr:row>11</xdr:row>
      <xdr:rowOff>134471</xdr:rowOff>
    </xdr:to>
    <xdr:sp macro="" textlink="$Z$6">
      <xdr:nvSpPr>
        <xdr:cNvPr id="11" name="Retângulo 10">
          <a:extLst>
            <a:ext uri="{FF2B5EF4-FFF2-40B4-BE49-F238E27FC236}">
              <a16:creationId xmlns:a16="http://schemas.microsoft.com/office/drawing/2014/main" id="{22724A55-417A-4063-7807-080895F433FD}"/>
            </a:ext>
          </a:extLst>
        </xdr:cNvPr>
        <xdr:cNvSpPr/>
      </xdr:nvSpPr>
      <xdr:spPr>
        <a:xfrm>
          <a:off x="7552766" y="1938618"/>
          <a:ext cx="3204883" cy="291353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534D3D6-D998-497A-B54B-3F232E6B6569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Takt Time: 8,2 seg</a:t>
          </a:fld>
          <a:endParaRPr lang="pt-BR" sz="1800" b="1"/>
        </a:p>
      </xdr:txBody>
    </xdr:sp>
    <xdr:clientData/>
  </xdr:twoCellAnchor>
  <xdr:twoCellAnchor>
    <xdr:from>
      <xdr:col>12</xdr:col>
      <xdr:colOff>291354</xdr:colOff>
      <xdr:row>11</xdr:row>
      <xdr:rowOff>178921</xdr:rowOff>
    </xdr:from>
    <xdr:to>
      <xdr:col>14</xdr:col>
      <xdr:colOff>2286002</xdr:colOff>
      <xdr:row>13</xdr:row>
      <xdr:rowOff>89274</xdr:rowOff>
    </xdr:to>
    <xdr:sp macro="" textlink="$Z$7">
      <xdr:nvSpPr>
        <xdr:cNvPr id="17" name="Retângulo 16">
          <a:extLst>
            <a:ext uri="{FF2B5EF4-FFF2-40B4-BE49-F238E27FC236}">
              <a16:creationId xmlns:a16="http://schemas.microsoft.com/office/drawing/2014/main" id="{F78A4318-8F01-43A5-BF5A-BB39DF2209E2}"/>
            </a:ext>
          </a:extLst>
        </xdr:cNvPr>
        <xdr:cNvSpPr/>
      </xdr:nvSpPr>
      <xdr:spPr>
        <a:xfrm>
          <a:off x="7552766" y="2274421"/>
          <a:ext cx="3204883" cy="291353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D8F574B-5C1C-4699-A09B-A66F08D11691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LeadTime: 29, seg</a:t>
          </a:fld>
          <a:endParaRPr lang="pt-BR" sz="1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291354</xdr:colOff>
      <xdr:row>13</xdr:row>
      <xdr:rowOff>133724</xdr:rowOff>
    </xdr:from>
    <xdr:to>
      <xdr:col>14</xdr:col>
      <xdr:colOff>2286002</xdr:colOff>
      <xdr:row>15</xdr:row>
      <xdr:rowOff>44077</xdr:rowOff>
    </xdr:to>
    <xdr:sp macro="" textlink="$Z$8">
      <xdr:nvSpPr>
        <xdr:cNvPr id="18" name="Retângulo 17">
          <a:extLst>
            <a:ext uri="{FF2B5EF4-FFF2-40B4-BE49-F238E27FC236}">
              <a16:creationId xmlns:a16="http://schemas.microsoft.com/office/drawing/2014/main" id="{9BBD3A71-D9F0-4ED7-915C-A3461703582C}"/>
            </a:ext>
          </a:extLst>
        </xdr:cNvPr>
        <xdr:cNvSpPr/>
      </xdr:nvSpPr>
      <xdr:spPr>
        <a:xfrm>
          <a:off x="7552766" y="2610224"/>
          <a:ext cx="3204883" cy="291353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D79E7078-63ED-4145-AA80-BE12F3D400A9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N° de postos : 3,5 postos </a:t>
          </a:fld>
          <a:endParaRPr lang="pt-BR" sz="1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291354</xdr:colOff>
      <xdr:row>15</xdr:row>
      <xdr:rowOff>88527</xdr:rowOff>
    </xdr:from>
    <xdr:to>
      <xdr:col>14</xdr:col>
      <xdr:colOff>2286002</xdr:colOff>
      <xdr:row>16</xdr:row>
      <xdr:rowOff>189380</xdr:rowOff>
    </xdr:to>
    <xdr:sp macro="" textlink="$Z$9">
      <xdr:nvSpPr>
        <xdr:cNvPr id="19" name="Retângulo 18">
          <a:extLst>
            <a:ext uri="{FF2B5EF4-FFF2-40B4-BE49-F238E27FC236}">
              <a16:creationId xmlns:a16="http://schemas.microsoft.com/office/drawing/2014/main" id="{F59F84A6-1CFC-45C1-9C9A-AD0DCF617CBC}"/>
            </a:ext>
          </a:extLst>
        </xdr:cNvPr>
        <xdr:cNvSpPr/>
      </xdr:nvSpPr>
      <xdr:spPr>
        <a:xfrm>
          <a:off x="7552766" y="2946027"/>
          <a:ext cx="3204883" cy="291353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E5AB309-1BF4-416B-9555-8726A9B2F497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N° real de postos : 4 postos </a:t>
          </a:fld>
          <a:endParaRPr lang="pt-BR" sz="1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291354</xdr:colOff>
      <xdr:row>17</xdr:row>
      <xdr:rowOff>43330</xdr:rowOff>
    </xdr:from>
    <xdr:to>
      <xdr:col>14</xdr:col>
      <xdr:colOff>2286002</xdr:colOff>
      <xdr:row>18</xdr:row>
      <xdr:rowOff>144183</xdr:rowOff>
    </xdr:to>
    <xdr:sp macro="" textlink="$Z$11">
      <xdr:nvSpPr>
        <xdr:cNvPr id="20" name="Retângulo 19">
          <a:extLst>
            <a:ext uri="{FF2B5EF4-FFF2-40B4-BE49-F238E27FC236}">
              <a16:creationId xmlns:a16="http://schemas.microsoft.com/office/drawing/2014/main" id="{D4837A7C-3F70-4BE4-AD4F-3242EBE6F722}"/>
            </a:ext>
          </a:extLst>
        </xdr:cNvPr>
        <xdr:cNvSpPr/>
      </xdr:nvSpPr>
      <xdr:spPr>
        <a:xfrm>
          <a:off x="7552766" y="3281830"/>
          <a:ext cx="3204883" cy="291353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557C0EA-072A-44DA-AD75-4A31ACDB39C2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Gargalo: 6,5 seg</a:t>
          </a:fld>
          <a:endParaRPr lang="pt-BR" sz="1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291354</xdr:colOff>
      <xdr:row>18</xdr:row>
      <xdr:rowOff>188633</xdr:rowOff>
    </xdr:from>
    <xdr:to>
      <xdr:col>14</xdr:col>
      <xdr:colOff>2286002</xdr:colOff>
      <xdr:row>20</xdr:row>
      <xdr:rowOff>98986</xdr:rowOff>
    </xdr:to>
    <xdr:sp macro="" textlink="$Z$12">
      <xdr:nvSpPr>
        <xdr:cNvPr id="21" name="Retângulo 20">
          <a:extLst>
            <a:ext uri="{FF2B5EF4-FFF2-40B4-BE49-F238E27FC236}">
              <a16:creationId xmlns:a16="http://schemas.microsoft.com/office/drawing/2014/main" id="{BB3BC807-B0EE-45E1-814D-51935D32D78A}"/>
            </a:ext>
          </a:extLst>
        </xdr:cNvPr>
        <xdr:cNvSpPr/>
      </xdr:nvSpPr>
      <xdr:spPr>
        <a:xfrm>
          <a:off x="7552766" y="3617633"/>
          <a:ext cx="3204883" cy="291353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19173EDF-E990-4250-8AB6-D62F98EB01F4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N° de postos : 4,5 postos </a:t>
          </a:fld>
          <a:endParaRPr lang="pt-BR" sz="1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291354</xdr:colOff>
      <xdr:row>20</xdr:row>
      <xdr:rowOff>143435</xdr:rowOff>
    </xdr:from>
    <xdr:to>
      <xdr:col>14</xdr:col>
      <xdr:colOff>2286002</xdr:colOff>
      <xdr:row>22</xdr:row>
      <xdr:rowOff>53788</xdr:rowOff>
    </xdr:to>
    <xdr:sp macro="" textlink="$Z$13">
      <xdr:nvSpPr>
        <xdr:cNvPr id="22" name="Retângulo 21">
          <a:extLst>
            <a:ext uri="{FF2B5EF4-FFF2-40B4-BE49-F238E27FC236}">
              <a16:creationId xmlns:a16="http://schemas.microsoft.com/office/drawing/2014/main" id="{D1B526B2-F98A-4E7B-9B66-BDAEE035CE60}"/>
            </a:ext>
          </a:extLst>
        </xdr:cNvPr>
        <xdr:cNvSpPr/>
      </xdr:nvSpPr>
      <xdr:spPr>
        <a:xfrm>
          <a:off x="7552766" y="3953435"/>
          <a:ext cx="3204883" cy="291353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163DB71-45DB-4172-B8E1-425F4FCE885A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N° real de postos : 5 postos </a:t>
          </a:fld>
          <a:endParaRPr lang="pt-BR" sz="1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571500</xdr:colOff>
      <xdr:row>7</xdr:row>
      <xdr:rowOff>112059</xdr:rowOff>
    </xdr:from>
    <xdr:to>
      <xdr:col>14</xdr:col>
      <xdr:colOff>1983441</xdr:colOff>
      <xdr:row>10</xdr:row>
      <xdr:rowOff>0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FC6E2E23-F85A-DBE4-D060-EC9993500532}"/>
            </a:ext>
          </a:extLst>
        </xdr:cNvPr>
        <xdr:cNvSpPr txBox="1"/>
      </xdr:nvSpPr>
      <xdr:spPr>
        <a:xfrm>
          <a:off x="7832912" y="1445559"/>
          <a:ext cx="2622176" cy="45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/>
            <a:t>DADOS</a:t>
          </a:r>
        </a:p>
      </xdr:txBody>
    </xdr:sp>
    <xdr:clientData/>
  </xdr:twoCellAnchor>
  <xdr:twoCellAnchor>
    <xdr:from>
      <xdr:col>12</xdr:col>
      <xdr:colOff>145678</xdr:colOff>
      <xdr:row>23</xdr:row>
      <xdr:rowOff>11751</xdr:rowOff>
    </xdr:from>
    <xdr:to>
      <xdr:col>14</xdr:col>
      <xdr:colOff>2431677</xdr:colOff>
      <xdr:row>38</xdr:row>
      <xdr:rowOff>34251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B692ECE1-8FD2-4AC0-B096-78208DFB54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190500</xdr:colOff>
      <xdr:row>0</xdr:row>
      <xdr:rowOff>72839</xdr:rowOff>
    </xdr:from>
    <xdr:to>
      <xdr:col>13</xdr:col>
      <xdr:colOff>582706</xdr:colOff>
      <xdr:row>2</xdr:row>
      <xdr:rowOff>128868</xdr:rowOff>
    </xdr:to>
    <xdr:sp macro="[0]!CopiarUnicosProposta" textlink="">
      <xdr:nvSpPr>
        <xdr:cNvPr id="2" name="Retângulo 1">
          <a:extLst>
            <a:ext uri="{FF2B5EF4-FFF2-40B4-BE49-F238E27FC236}">
              <a16:creationId xmlns:a16="http://schemas.microsoft.com/office/drawing/2014/main" id="{689D7639-7E2B-4DF6-9473-2956E4B4F27D}"/>
            </a:ext>
          </a:extLst>
        </xdr:cNvPr>
        <xdr:cNvSpPr/>
      </xdr:nvSpPr>
      <xdr:spPr>
        <a:xfrm>
          <a:off x="19935825" y="72839"/>
          <a:ext cx="1097056" cy="45607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PASSAR DADOS PARA GBO</a:t>
          </a:r>
        </a:p>
      </xdr:txBody>
    </xdr:sp>
    <xdr:clientData/>
  </xdr:twoCellAnchor>
  <xdr:twoCellAnchor>
    <xdr:from>
      <xdr:col>12</xdr:col>
      <xdr:colOff>198783</xdr:colOff>
      <xdr:row>4</xdr:row>
      <xdr:rowOff>64557</xdr:rowOff>
    </xdr:from>
    <xdr:to>
      <xdr:col>13</xdr:col>
      <xdr:colOff>590989</xdr:colOff>
      <xdr:row>6</xdr:row>
      <xdr:rowOff>137151</xdr:rowOff>
    </xdr:to>
    <xdr:sp macro="[0]!CopiarUnicosProposta" textlink="">
      <xdr:nvSpPr>
        <xdr:cNvPr id="3" name="Retângulo 2">
          <a:extLst>
            <a:ext uri="{FF2B5EF4-FFF2-40B4-BE49-F238E27FC236}">
              <a16:creationId xmlns:a16="http://schemas.microsoft.com/office/drawing/2014/main" id="{E125DE40-AC3C-FDCD-20F7-53A60584B086}"/>
            </a:ext>
          </a:extLst>
        </xdr:cNvPr>
        <xdr:cNvSpPr/>
      </xdr:nvSpPr>
      <xdr:spPr>
        <a:xfrm>
          <a:off x="23961587" y="859687"/>
          <a:ext cx="1096228" cy="45359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PASSAR DADOS PARA GBO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9</xdr:col>
      <xdr:colOff>219635</xdr:colOff>
      <xdr:row>3</xdr:row>
      <xdr:rowOff>78443</xdr:rowOff>
    </xdr:to>
    <xdr:sp macro="[0]!LimparDadosProposto" textlink="">
      <xdr:nvSpPr>
        <xdr:cNvPr id="2" name="Retângulo 1">
          <a:extLst>
            <a:ext uri="{FF2B5EF4-FFF2-40B4-BE49-F238E27FC236}">
              <a16:creationId xmlns:a16="http://schemas.microsoft.com/office/drawing/2014/main" id="{5D2102EA-2B4E-43E5-AFD1-A4AC2A3FC7FE}"/>
            </a:ext>
          </a:extLst>
        </xdr:cNvPr>
        <xdr:cNvSpPr/>
      </xdr:nvSpPr>
      <xdr:spPr>
        <a:xfrm>
          <a:off x="11277600" y="190500"/>
          <a:ext cx="829235" cy="45944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 DADOS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2577353</xdr:colOff>
      <xdr:row>39</xdr:row>
      <xdr:rowOff>22412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169AD4E-0956-483F-8272-24E8F0B44CB8}"/>
            </a:ext>
          </a:extLst>
        </xdr:cNvPr>
        <xdr:cNvSpPr/>
      </xdr:nvSpPr>
      <xdr:spPr>
        <a:xfrm>
          <a:off x="0" y="0"/>
          <a:ext cx="11111753" cy="745191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89648</xdr:colOff>
      <xdr:row>7</xdr:row>
      <xdr:rowOff>78439</xdr:rowOff>
    </xdr:from>
    <xdr:to>
      <xdr:col>12</xdr:col>
      <xdr:colOff>28236</xdr:colOff>
      <xdr:row>22</xdr:row>
      <xdr:rowOff>100939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6DC1197-52A7-4D18-97D6-1BB7C9CC1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78440</xdr:colOff>
      <xdr:row>23</xdr:row>
      <xdr:rowOff>11751</xdr:rowOff>
    </xdr:from>
    <xdr:to>
      <xdr:col>12</xdr:col>
      <xdr:colOff>17028</xdr:colOff>
      <xdr:row>38</xdr:row>
      <xdr:rowOff>34251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79838F-273B-443F-8CEC-313865D1A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123265</xdr:colOff>
      <xdr:row>0</xdr:row>
      <xdr:rowOff>78441</xdr:rowOff>
    </xdr:from>
    <xdr:to>
      <xdr:col>14</xdr:col>
      <xdr:colOff>2386853</xdr:colOff>
      <xdr:row>6</xdr:row>
      <xdr:rowOff>123265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50096FF-4755-43C5-B4DF-719C85CA4234}"/>
            </a:ext>
          </a:extLst>
        </xdr:cNvPr>
        <xdr:cNvSpPr/>
      </xdr:nvSpPr>
      <xdr:spPr>
        <a:xfrm>
          <a:off x="123265" y="78441"/>
          <a:ext cx="10797988" cy="1187824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22413</xdr:colOff>
      <xdr:row>0</xdr:row>
      <xdr:rowOff>0</xdr:rowOff>
    </xdr:from>
    <xdr:to>
      <xdr:col>12</xdr:col>
      <xdr:colOff>593913</xdr:colOff>
      <xdr:row>6</xdr:row>
      <xdr:rowOff>123264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2DF0D51D-43E4-446F-8A79-0515706D7877}"/>
            </a:ext>
          </a:extLst>
        </xdr:cNvPr>
        <xdr:cNvSpPr txBox="1"/>
      </xdr:nvSpPr>
      <xdr:spPr>
        <a:xfrm>
          <a:off x="3070413" y="0"/>
          <a:ext cx="4838700" cy="12662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/>
            <a:t>PAINÉL DE INDICADORES</a:t>
          </a:r>
          <a:r>
            <a:rPr lang="pt-BR" sz="2400" b="1" baseline="0"/>
            <a:t> </a:t>
          </a:r>
        </a:p>
        <a:p>
          <a:pPr algn="ctr"/>
          <a:r>
            <a:rPr lang="pt-BR" sz="2400" b="1" baseline="0"/>
            <a:t>ESTUDO DO PROPOSTO</a:t>
          </a:r>
          <a:endParaRPr lang="pt-BR" sz="2400" b="1"/>
        </a:p>
      </xdr:txBody>
    </xdr:sp>
    <xdr:clientData/>
  </xdr:twoCellAnchor>
  <xdr:twoCellAnchor editAs="oneCell">
    <xdr:from>
      <xdr:col>0</xdr:col>
      <xdr:colOff>291354</xdr:colOff>
      <xdr:row>2</xdr:row>
      <xdr:rowOff>56030</xdr:rowOff>
    </xdr:from>
    <xdr:to>
      <xdr:col>4</xdr:col>
      <xdr:colOff>316060</xdr:colOff>
      <xdr:row>4</xdr:row>
      <xdr:rowOff>168089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E55BF3B-15CB-4615-B244-3DD30FC49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4" y="437030"/>
          <a:ext cx="2463106" cy="493059"/>
        </a:xfrm>
        <a:prstGeom prst="rect">
          <a:avLst/>
        </a:prstGeom>
      </xdr:spPr>
    </xdr:pic>
    <xdr:clientData/>
  </xdr:twoCellAnchor>
  <xdr:twoCellAnchor>
    <xdr:from>
      <xdr:col>12</xdr:col>
      <xdr:colOff>173692</xdr:colOff>
      <xdr:row>7</xdr:row>
      <xdr:rowOff>89646</xdr:rowOff>
    </xdr:from>
    <xdr:to>
      <xdr:col>14</xdr:col>
      <xdr:colOff>2403663</xdr:colOff>
      <xdr:row>22</xdr:row>
      <xdr:rowOff>112059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46072CF-CBB5-45E7-B0AA-D4372C1C297C}"/>
            </a:ext>
          </a:extLst>
        </xdr:cNvPr>
        <xdr:cNvSpPr/>
      </xdr:nvSpPr>
      <xdr:spPr>
        <a:xfrm>
          <a:off x="7488892" y="1423146"/>
          <a:ext cx="3449171" cy="2879913"/>
        </a:xfrm>
        <a:prstGeom prst="roundRect">
          <a:avLst>
            <a:gd name="adj" fmla="val 3223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291354</xdr:colOff>
      <xdr:row>10</xdr:row>
      <xdr:rowOff>33618</xdr:rowOff>
    </xdr:from>
    <xdr:to>
      <xdr:col>14</xdr:col>
      <xdr:colOff>2286002</xdr:colOff>
      <xdr:row>11</xdr:row>
      <xdr:rowOff>134471</xdr:rowOff>
    </xdr:to>
    <xdr:sp macro="" textlink="$Z$6">
      <xdr:nvSpPr>
        <xdr:cNvPr id="9" name="Retângulo 8">
          <a:extLst>
            <a:ext uri="{FF2B5EF4-FFF2-40B4-BE49-F238E27FC236}">
              <a16:creationId xmlns:a16="http://schemas.microsoft.com/office/drawing/2014/main" id="{65305E6C-5B19-460C-8A63-7DB3592EFC9B}"/>
            </a:ext>
          </a:extLst>
        </xdr:cNvPr>
        <xdr:cNvSpPr/>
      </xdr:nvSpPr>
      <xdr:spPr>
        <a:xfrm>
          <a:off x="7606554" y="1938618"/>
          <a:ext cx="3213848" cy="291353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534D3D6-D998-497A-B54B-3F232E6B6569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Takt Time: 8,2 seg</a:t>
          </a:fld>
          <a:endParaRPr lang="pt-BR" sz="1800" b="1"/>
        </a:p>
      </xdr:txBody>
    </xdr:sp>
    <xdr:clientData/>
  </xdr:twoCellAnchor>
  <xdr:twoCellAnchor>
    <xdr:from>
      <xdr:col>12</xdr:col>
      <xdr:colOff>291354</xdr:colOff>
      <xdr:row>11</xdr:row>
      <xdr:rowOff>178921</xdr:rowOff>
    </xdr:from>
    <xdr:to>
      <xdr:col>14</xdr:col>
      <xdr:colOff>2286002</xdr:colOff>
      <xdr:row>13</xdr:row>
      <xdr:rowOff>89274</xdr:rowOff>
    </xdr:to>
    <xdr:sp macro="" textlink="$Z$7">
      <xdr:nvSpPr>
        <xdr:cNvPr id="10" name="Retângulo 9">
          <a:extLst>
            <a:ext uri="{FF2B5EF4-FFF2-40B4-BE49-F238E27FC236}">
              <a16:creationId xmlns:a16="http://schemas.microsoft.com/office/drawing/2014/main" id="{D992DF17-FFF4-48C4-AFF2-7A7A833CCCC7}"/>
            </a:ext>
          </a:extLst>
        </xdr:cNvPr>
        <xdr:cNvSpPr/>
      </xdr:nvSpPr>
      <xdr:spPr>
        <a:xfrm>
          <a:off x="7606554" y="2274421"/>
          <a:ext cx="3213848" cy="291353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D8F574B-5C1C-4699-A09B-A66F08D11691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LeadTime: 24,3 seg</a:t>
          </a:fld>
          <a:endParaRPr lang="pt-BR" sz="1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291354</xdr:colOff>
      <xdr:row>13</xdr:row>
      <xdr:rowOff>133724</xdr:rowOff>
    </xdr:from>
    <xdr:to>
      <xdr:col>14</xdr:col>
      <xdr:colOff>2286002</xdr:colOff>
      <xdr:row>15</xdr:row>
      <xdr:rowOff>44077</xdr:rowOff>
    </xdr:to>
    <xdr:sp macro="" textlink="$Z$8">
      <xdr:nvSpPr>
        <xdr:cNvPr id="11" name="Retângulo 10">
          <a:extLst>
            <a:ext uri="{FF2B5EF4-FFF2-40B4-BE49-F238E27FC236}">
              <a16:creationId xmlns:a16="http://schemas.microsoft.com/office/drawing/2014/main" id="{970615EA-A5C7-49E5-9117-848AD0B433D6}"/>
            </a:ext>
          </a:extLst>
        </xdr:cNvPr>
        <xdr:cNvSpPr/>
      </xdr:nvSpPr>
      <xdr:spPr>
        <a:xfrm>
          <a:off x="7606554" y="2610224"/>
          <a:ext cx="3213848" cy="291353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D79E7078-63ED-4145-AA80-BE12F3D400A9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N° de postos : 3,8 postos </a:t>
          </a:fld>
          <a:endParaRPr lang="pt-BR" sz="1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291354</xdr:colOff>
      <xdr:row>15</xdr:row>
      <xdr:rowOff>88527</xdr:rowOff>
    </xdr:from>
    <xdr:to>
      <xdr:col>14</xdr:col>
      <xdr:colOff>2286002</xdr:colOff>
      <xdr:row>16</xdr:row>
      <xdr:rowOff>189380</xdr:rowOff>
    </xdr:to>
    <xdr:sp macro="" textlink="$Z$9">
      <xdr:nvSpPr>
        <xdr:cNvPr id="12" name="Retângulo 11">
          <a:extLst>
            <a:ext uri="{FF2B5EF4-FFF2-40B4-BE49-F238E27FC236}">
              <a16:creationId xmlns:a16="http://schemas.microsoft.com/office/drawing/2014/main" id="{6DDE0A97-78F5-4DA1-9EC1-AA9A38474A21}"/>
            </a:ext>
          </a:extLst>
        </xdr:cNvPr>
        <xdr:cNvSpPr/>
      </xdr:nvSpPr>
      <xdr:spPr>
        <a:xfrm>
          <a:off x="7606554" y="2946027"/>
          <a:ext cx="3213848" cy="291353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E5AB309-1BF4-416B-9555-8726A9B2F497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N° real de postos : 4 postos </a:t>
          </a:fld>
          <a:endParaRPr lang="pt-BR" sz="1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291354</xdr:colOff>
      <xdr:row>17</xdr:row>
      <xdr:rowOff>43330</xdr:rowOff>
    </xdr:from>
    <xdr:to>
      <xdr:col>14</xdr:col>
      <xdr:colOff>2286002</xdr:colOff>
      <xdr:row>18</xdr:row>
      <xdr:rowOff>144183</xdr:rowOff>
    </xdr:to>
    <xdr:sp macro="" textlink="$Z$11">
      <xdr:nvSpPr>
        <xdr:cNvPr id="13" name="Retângulo 12">
          <a:extLst>
            <a:ext uri="{FF2B5EF4-FFF2-40B4-BE49-F238E27FC236}">
              <a16:creationId xmlns:a16="http://schemas.microsoft.com/office/drawing/2014/main" id="{04964A7F-1E61-44F8-8E22-B53582356FC5}"/>
            </a:ext>
          </a:extLst>
        </xdr:cNvPr>
        <xdr:cNvSpPr/>
      </xdr:nvSpPr>
      <xdr:spPr>
        <a:xfrm>
          <a:off x="7606554" y="3281830"/>
          <a:ext cx="3213848" cy="291353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557C0EA-072A-44DA-AD75-4A31ACDB39C2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Gargalo da operação: 6,4 seg</a:t>
          </a:fld>
          <a:endParaRPr lang="pt-BR" sz="1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571500</xdr:colOff>
      <xdr:row>7</xdr:row>
      <xdr:rowOff>112059</xdr:rowOff>
    </xdr:from>
    <xdr:to>
      <xdr:col>14</xdr:col>
      <xdr:colOff>1983441</xdr:colOff>
      <xdr:row>10</xdr:row>
      <xdr:rowOff>0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A6D4F2F3-AC3D-4F1E-B797-6255632E817C}"/>
            </a:ext>
          </a:extLst>
        </xdr:cNvPr>
        <xdr:cNvSpPr txBox="1"/>
      </xdr:nvSpPr>
      <xdr:spPr>
        <a:xfrm>
          <a:off x="7886700" y="1445559"/>
          <a:ext cx="2631141" cy="45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/>
            <a:t>DADOS</a:t>
          </a:r>
        </a:p>
      </xdr:txBody>
    </xdr:sp>
    <xdr:clientData/>
  </xdr:twoCellAnchor>
  <xdr:twoCellAnchor>
    <xdr:from>
      <xdr:col>12</xdr:col>
      <xdr:colOff>145678</xdr:colOff>
      <xdr:row>23</xdr:row>
      <xdr:rowOff>11751</xdr:rowOff>
    </xdr:from>
    <xdr:to>
      <xdr:col>14</xdr:col>
      <xdr:colOff>2431677</xdr:colOff>
      <xdr:row>38</xdr:row>
      <xdr:rowOff>34251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AC3B169-052E-4241-8B1D-DA067F7F1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291354</xdr:colOff>
      <xdr:row>19</xdr:row>
      <xdr:rowOff>24280</xdr:rowOff>
    </xdr:from>
    <xdr:to>
      <xdr:col>14</xdr:col>
      <xdr:colOff>2286002</xdr:colOff>
      <xdr:row>20</xdr:row>
      <xdr:rowOff>125133</xdr:rowOff>
    </xdr:to>
    <xdr:sp macro="" textlink="$Z$14">
      <xdr:nvSpPr>
        <xdr:cNvPr id="18" name="Retângulo 17">
          <a:extLst>
            <a:ext uri="{FF2B5EF4-FFF2-40B4-BE49-F238E27FC236}">
              <a16:creationId xmlns:a16="http://schemas.microsoft.com/office/drawing/2014/main" id="{60880DCF-50C6-9680-7CE9-AD77AA33239D}"/>
            </a:ext>
          </a:extLst>
        </xdr:cNvPr>
        <xdr:cNvSpPr/>
      </xdr:nvSpPr>
      <xdr:spPr>
        <a:xfrm>
          <a:off x="7606554" y="3643780"/>
          <a:ext cx="3213848" cy="291353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F1270E3-86D6-4E92-9EC4-EFBBB85D0D3A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Eficiênca necessária: 78%</a:t>
          </a:fld>
          <a:endParaRPr lang="pt-BR" sz="1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vila Teixeira" refreshedDate="45812.589446874998" createdVersion="8" refreshedVersion="8" minRefreshableVersion="3" recordCount="46" xr:uid="{52997159-3452-4500-A3C4-4A6266EA49BE}">
  <cacheSource type="worksheet">
    <worksheetSource name="Tabela14"/>
  </cacheSource>
  <cacheFields count="21">
    <cacheField name="Manter?" numFmtId="0">
      <sharedItems containsBlank="1" count="2">
        <m/>
        <s v="Não"/>
      </sharedItems>
    </cacheField>
    <cacheField name="Nome da operação" numFmtId="0">
      <sharedItems/>
    </cacheField>
    <cacheField name="ID" numFmtId="168">
      <sharedItems count="5">
        <s v="OP1"/>
        <s v="OP2"/>
        <s v="OP3"/>
        <s v="OP4"/>
        <s v="OP5" u="1"/>
      </sharedItems>
    </cacheField>
    <cacheField name="Atividade" numFmtId="0">
      <sharedItems count="45">
        <s v="Pegar o cachimbo com bucha com a mão direita"/>
        <s v="Levar o cachimbo até a graxeira"/>
        <s v="Aplicar a graxa"/>
        <s v="Unir cachimbo com pino"/>
        <s v="Esperar para retirar a peça"/>
        <s v="Retira a peça processada e abastecer com a nova peça"/>
        <s v="Retirar peça do dispositivo e abastecer com a nova peça"/>
        <s v="Pegar um limitador com a mão esquerda e com a mão direita pegar uma peça montada"/>
        <s v="Unir peça montada com limitador"/>
        <s v="Pegar um guarda-pó com a mão esquerda "/>
        <s v="Unir peça montada com guarda-pó"/>
        <s v="Pega o saco e abre com a mão esquerda e pega a peça montada com a mão direita"/>
        <s v="Coloca a peça e a porca dentro do saco plástico e libera pra próxima operação"/>
        <s v="Pega um &quot;punhado&quot; de porcas com a mão direita"/>
        <s v="Abrir saco de saco plástico e disposnibilizar sobre a mesa "/>
        <s v="Pega o cartucho com a direita, leva até a esquerda e abre"/>
        <s v="Pega o termo e coloca dentro do cartucho"/>
        <s v="Pega a peça e coloca dentro do cartucho"/>
        <s v="Fecha o cartucho"/>
        <s v="Disponibiliza o cartucho fechado para a proxima operação"/>
        <s v="Arrumar cartuchos fechados na mesa"/>
        <s v="Abastecer a mesa de cartuchos"/>
        <s v="Pega a caixa fechada debaixo da mesa"/>
        <s v="Coloca a caixa em cima da mesa e abre"/>
        <s v="Dobrar abas da caixa master"/>
        <s v="Pegar grampeador e posicionar"/>
        <s v="Grampear parte de baixo da caixa"/>
        <s v="Guardar o grampeador"/>
        <s v="Virar a caixa e abrir as abas de cima"/>
        <s v="Abastecer a caixa com cartuchos"/>
        <s v="Fechar as abas da parte de cima da caixa"/>
        <s v="Pegar o grampeador e posicionar"/>
        <s v="Grampear as abas da parte superior da caixa"/>
        <s v="Virar a caixa para colar etiqueta"/>
        <s v="Pegar a etiqueta, descolar e aplicar na caixa"/>
        <s v="Pegar pincel, abrir e marcar a etiqueta, fechar e guardar novamente"/>
        <s v="Largar a caixa para a proxima posição."/>
        <s v="Levar as caixas fechadas acumuladas para colocar no pallete"/>
        <s v="Colar etiqueta no cartucho"/>
        <s v="Recolher o fim das etiquetas e colocar no lixo"/>
        <s v="Colocar mais cartuchos na mesa e organizar para etiquetar"/>
        <s v="Recortar as etiquetas e organizar para começar a aplicar novamente"/>
        <s v="Imprimir etiquetas"/>
        <s v="Inspeção + Lançamento"/>
        <s v="Movimentação de componentes"/>
      </sharedItems>
    </cacheField>
    <cacheField name="MOP" numFmtId="0">
      <sharedItems/>
    </cacheField>
    <cacheField name="Classificação" numFmtId="0">
      <sharedItems/>
    </cacheField>
    <cacheField name="A1 (s)" numFmtId="2">
      <sharedItems containsString="0" containsBlank="1" containsNumber="1" minValue="0.45" maxValue="120"/>
    </cacheField>
    <cacheField name="A2 (s)" numFmtId="2">
      <sharedItems containsString="0" containsBlank="1" containsNumber="1" minValue="0.25" maxValue="1.87"/>
    </cacheField>
    <cacheField name="A3 (s)" numFmtId="2">
      <sharedItems containsString="0" containsBlank="1" containsNumber="1" minValue="0.4" maxValue="2.8"/>
    </cacheField>
    <cacheField name="A4 (s)" numFmtId="2">
      <sharedItems containsString="0" containsBlank="1" containsNumber="1" minValue="0" maxValue="2"/>
    </cacheField>
    <cacheField name="A5 (s)" numFmtId="2">
      <sharedItems containsString="0" containsBlank="1" containsNumber="1" minValue="0.43" maxValue="2.13"/>
    </cacheField>
    <cacheField name="A6 (s)" numFmtId="2">
      <sharedItems containsString="0" containsBlank="1" containsNumber="1" minValue="0.51300000000000001" maxValue="1.8779999999999999"/>
    </cacheField>
    <cacheField name="A7 (s)" numFmtId="2">
      <sharedItems containsString="0" containsBlank="1" containsNumber="1" minValue="0.53400000000000003" maxValue="2.1840000000000002"/>
    </cacheField>
    <cacheField name="A8 (s)" numFmtId="2">
      <sharedItems containsString="0" containsBlank="1" containsNumber="1" minValue="0.49299999999999999" maxValue="1.7470000000000001"/>
    </cacheField>
    <cacheField name="A9 (s)" numFmtId="2">
      <sharedItems containsString="0" containsBlank="1" containsNumber="1" minValue="0.49299999999999999" maxValue="1.7430000000000001"/>
    </cacheField>
    <cacheField name="A10 (s)" numFmtId="2">
      <sharedItems containsString="0" containsBlank="1" containsNumber="1" minValue="0.51800000000000002" maxValue="2.048"/>
    </cacheField>
    <cacheField name="Tméd (s)" numFmtId="2">
      <sharedItems containsSemiMixedTypes="0" containsString="0" containsNumber="1" minValue="0.44999999999999996" maxValue="120"/>
    </cacheField>
    <cacheField name="Ritmo" numFmtId="9">
      <sharedItems containsSemiMixedTypes="0" containsString="0" containsNumber="1" containsInteger="1" minValue="1" maxValue="1"/>
    </cacheField>
    <cacheField name="Fadiga calculada" numFmtId="9">
      <sharedItems containsNonDate="0" containsString="0" containsBlank="1"/>
    </cacheField>
    <cacheField name="Frequência" numFmtId="1">
      <sharedItems containsSemiMixedTypes="0" containsString="0" containsNumber="1" containsInteger="1" minValue="1" maxValue="450"/>
    </cacheField>
    <cacheField name="Tméd ajustado (s)" numFmtId="2">
      <sharedItems containsString="0" containsBlank="1" containsNumber="1" minValue="4.4444444444444446E-2" maxValue="1.937624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vila Teixeira" refreshedDate="45812.589446990743" createdVersion="8" refreshedVersion="8" minRefreshableVersion="3" recordCount="46" xr:uid="{04EC77DE-C040-4011-885F-552512A80988}">
  <cacheSource type="worksheet">
    <worksheetSource name="Tabela1"/>
  </cacheSource>
  <cacheFields count="20">
    <cacheField name="Nome da operação" numFmtId="0">
      <sharedItems/>
    </cacheField>
    <cacheField name="ID" numFmtId="168">
      <sharedItems count="5">
        <s v="OP1"/>
        <s v="OP2"/>
        <s v="OP3"/>
        <s v="OP4"/>
        <s v="OP5"/>
      </sharedItems>
    </cacheField>
    <cacheField name="Atividade" numFmtId="0">
      <sharedItems count="46">
        <s v="Pegar o cachimbo com bucha com a mão direita"/>
        <s v="Levar o cachimbo até a graxeira"/>
        <s v="Aplicar a graxa"/>
        <s v="Unir cachimbo com pino"/>
        <s v="Esperar para retirar a peça"/>
        <s v="Retira a peça processada e abastecer com a nova peça"/>
        <s v="Retirar peça do dispositivo e abastecer com a nova peça"/>
        <s v="Pegar um limitador com a mão esquerda e com a mão direita pegar uma peça montada"/>
        <s v="Unir peça montada com limitador"/>
        <s v="Pegar um guarda-pó com a mão esquerda "/>
        <s v="Unir peça montada com guarda-pó"/>
        <s v="Pega o saco e abre com a mão esquerda e pega a peça montada com a mão direita"/>
        <s v="Coloca a peça e a porca dentro do saco plástico e libera pra próxima operação"/>
        <s v="Pega um &quot;punhado&quot; de porcas com a mão direita"/>
        <s v="Abrir saco de saco plástico e disposnibilizar sobre a mesa "/>
        <s v="Pega o cartucho com a direita, leva até a esquerda e abre"/>
        <s v="Pega o termo e coloca dentro do cartucho"/>
        <s v="Pega a peça e coloca dentro do cartucho"/>
        <s v="Fecha o cartucho"/>
        <s v="Disponibiliza o cartucho fechado para a proxima operação"/>
        <s v="Arrumar cartuchos fechados na mesa"/>
        <s v="Abastecer a mesa de cartuchos"/>
        <s v="Pega a caixa fechada debaixo da mesa"/>
        <s v="Coloca a caixa em cima da mesa e abre"/>
        <s v="Dobrar abas da caixa master"/>
        <s v="Pegar grampeador e posicionar"/>
        <s v="Grampear parte de baixo da caixa"/>
        <s v="Guardar o grampeador"/>
        <s v="Virar a caixa e abrir as abas de cima"/>
        <s v="Abastecer a caixa com cartuchos"/>
        <s v="Fechar as abas da parte de cima da caixa"/>
        <s v="Pegar o grampeador e posicionar"/>
        <s v="Grampear as abas da parte superior da caixa"/>
        <s v="Virar a caixa para colar etiqueta"/>
        <s v="Pegar a etiqueta, descolar e aplicar na caixa"/>
        <s v="Pegar pincel, abrir e marcar a etiqueta, fechar e guardar novamente"/>
        <s v="Largar a caixa para a proxima posição."/>
        <s v="Levar as caixas fechadas acumuladas para colocar no pallete"/>
        <s v="Colar etiqueta no cartucho"/>
        <s v="Recolher o fim das etiquetas e colocar no lixo"/>
        <s v="Colocar mais cartuchos na mesa e organizar para etiquetar"/>
        <s v="Recortar as etiquetas e organizar para começar a aplicar novamente"/>
        <s v="Imprimir etiquetas"/>
        <s v="Inspeção + Lançamento"/>
        <s v="Movimentação de componentes"/>
        <s v="Pegar um guarda-pó com a mão esquerda e com a mão direita pegar uma peça montada" u="1"/>
      </sharedItems>
    </cacheField>
    <cacheField name="MOP" numFmtId="0">
      <sharedItems/>
    </cacheField>
    <cacheField name="Classificação" numFmtId="0">
      <sharedItems/>
    </cacheField>
    <cacheField name="A1 (s)" numFmtId="2">
      <sharedItems containsString="0" containsBlank="1" containsNumber="1" minValue="0.5" maxValue="180"/>
    </cacheField>
    <cacheField name="A2 (s)" numFmtId="2">
      <sharedItems containsString="0" containsBlank="1" containsNumber="1" minValue="0.3" maxValue="1.87"/>
    </cacheField>
    <cacheField name="A3 (s)" numFmtId="2">
      <sharedItems containsString="0" containsBlank="1" containsNumber="1" minValue="0.43" maxValue="2.8"/>
    </cacheField>
    <cacheField name="A4 (s)" numFmtId="2">
      <sharedItems containsString="0" containsBlank="1" containsNumber="1" minValue="0" maxValue="2"/>
    </cacheField>
    <cacheField name="A5 (s)" numFmtId="2">
      <sharedItems containsString="0" containsBlank="1" containsNumber="1" minValue="0.43" maxValue="2.13"/>
    </cacheField>
    <cacheField name="A6 (s)" numFmtId="2">
      <sharedItems containsString="0" containsBlank="1" containsNumber="1" minValue="0.51300000000000001" maxValue="1.8779999999999999"/>
    </cacheField>
    <cacheField name="A7 (s)" numFmtId="2">
      <sharedItems containsString="0" containsBlank="1" containsNumber="1" minValue="0.53400000000000003" maxValue="2.1840000000000002"/>
    </cacheField>
    <cacheField name="A8 (s)" numFmtId="2">
      <sharedItems containsString="0" containsBlank="1" containsNumber="1" minValue="0.49299999999999999" maxValue="1.7470000000000001"/>
    </cacheField>
    <cacheField name="A9 (s)" numFmtId="2">
      <sharedItems containsString="0" containsBlank="1" containsNumber="1" minValue="0.49299999999999999" maxValue="1.7430000000000001"/>
    </cacheField>
    <cacheField name="A10 (s)" numFmtId="2">
      <sharedItems containsString="0" containsBlank="1" containsNumber="1" minValue="0.51800000000000002" maxValue="2.048"/>
    </cacheField>
    <cacheField name="Tméd (s)" numFmtId="2">
      <sharedItems containsSemiMixedTypes="0" containsString="0" containsNumber="1" minValue="0.46500000000000008" maxValue="180"/>
    </cacheField>
    <cacheField name="Ritmo" numFmtId="9">
      <sharedItems containsSemiMixedTypes="0" containsString="0" containsNumber="1" containsInteger="1" minValue="1" maxValue="1"/>
    </cacheField>
    <cacheField name="Fadiga calculada" numFmtId="9">
      <sharedItems containsNonDate="0" containsString="0" containsBlank="1"/>
    </cacheField>
    <cacheField name="Frequência" numFmtId="1">
      <sharedItems containsSemiMixedTypes="0" containsString="0" containsNumber="1" containsInteger="1" minValue="1" maxValue="450"/>
    </cacheField>
    <cacheField name="Tméd ajustado (s)" numFmtId="2">
      <sharedItems containsSemiMixedTypes="0" containsString="0" containsNumber="1" minValue="4.0555555555555553E-2" maxValue="1.937624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s v="FECHAMENTO + GRAVAÇÃO + PRÉ-MONTAGEM"/>
    <x v="0"/>
    <x v="0"/>
    <s v="TMP"/>
    <s v="NECESSÁRIO"/>
    <n v="1.93"/>
    <n v="1.57"/>
    <n v="1.57"/>
    <n v="1.6"/>
    <m/>
    <m/>
    <m/>
    <m/>
    <m/>
    <m/>
    <n v="1.585"/>
    <n v="1"/>
    <m/>
    <n v="1"/>
    <n v="1.585"/>
  </r>
  <r>
    <x v="0"/>
    <s v="FECHAMENTO + GRAVAÇÃO + PRÉ-MONTAGEM"/>
    <x v="0"/>
    <x v="1"/>
    <s v="TMP"/>
    <s v="DESPERDÍCIO"/>
    <n v="0.5"/>
    <n v="1.1000000000000001"/>
    <n v="0.5"/>
    <n v="0.7"/>
    <m/>
    <m/>
    <m/>
    <m/>
    <m/>
    <m/>
    <n v="0.59999999999999987"/>
    <n v="1"/>
    <m/>
    <n v="1"/>
    <n v="0.59999999999999987"/>
  </r>
  <r>
    <x v="0"/>
    <s v="FECHAMENTO + GRAVAÇÃO + PRÉ-MONTAGEM"/>
    <x v="0"/>
    <x v="2"/>
    <s v="TMP"/>
    <s v="AGREGA VALOR"/>
    <n v="0.5"/>
    <n v="0.6"/>
    <n v="0.43"/>
    <n v="0.23"/>
    <m/>
    <m/>
    <m/>
    <m/>
    <m/>
    <m/>
    <n v="0.46500000000000008"/>
    <n v="1"/>
    <m/>
    <n v="1"/>
    <n v="0.46500000000000008"/>
  </r>
  <r>
    <x v="0"/>
    <s v="FECHAMENTO + GRAVAÇÃO + PRÉ-MONTAGEM"/>
    <x v="0"/>
    <x v="3"/>
    <s v="TMP"/>
    <s v="NECESSÁRIO"/>
    <n v="1.4"/>
    <n v="0.8"/>
    <n v="0.8"/>
    <n v="0.7"/>
    <m/>
    <m/>
    <m/>
    <m/>
    <m/>
    <m/>
    <n v="0.80000000000000016"/>
    <n v="1"/>
    <m/>
    <n v="1"/>
    <n v="0.80000000000000016"/>
  </r>
  <r>
    <x v="1"/>
    <s v="FECHAMENTO + GRAVAÇÃO + PRÉ-MONTAGEM"/>
    <x v="0"/>
    <x v="4"/>
    <s v="TMP"/>
    <s v="DESPERDÍCIO"/>
    <m/>
    <m/>
    <n v="0.5"/>
    <m/>
    <m/>
    <m/>
    <m/>
    <m/>
    <m/>
    <m/>
    <n v="0.5"/>
    <n v="1"/>
    <m/>
    <n v="1"/>
    <m/>
  </r>
  <r>
    <x v="0"/>
    <s v="FECHAMENTO + GRAVAÇÃO + PRÉ-MONTAGEM"/>
    <x v="0"/>
    <x v="5"/>
    <s v="TMP"/>
    <s v="NECESSÁRIO"/>
    <n v="2.33"/>
    <n v="1.87"/>
    <n v="1.83"/>
    <n v="0"/>
    <m/>
    <m/>
    <m/>
    <m/>
    <m/>
    <m/>
    <n v="1.85"/>
    <n v="1"/>
    <m/>
    <n v="1"/>
    <n v="1.85"/>
  </r>
  <r>
    <x v="0"/>
    <s v="APLICAÇÃO DO GUARDA-PÓ  "/>
    <x v="1"/>
    <x v="6"/>
    <s v="TOM"/>
    <s v="NECESSÁRIO"/>
    <n v="1.47"/>
    <n v="1.3"/>
    <n v="1.4"/>
    <m/>
    <m/>
    <m/>
    <m/>
    <m/>
    <m/>
    <m/>
    <n v="1.4000000000000001"/>
    <n v="1"/>
    <m/>
    <n v="1"/>
    <n v="1.4000000000000001"/>
  </r>
  <r>
    <x v="0"/>
    <s v="APLICAÇÃO DO GUARDA-PÓ  "/>
    <x v="1"/>
    <x v="7"/>
    <s v="TOM"/>
    <s v="NECESSÁRIO"/>
    <n v="1"/>
    <n v="1.1000000000000001"/>
    <n v="0.8"/>
    <m/>
    <m/>
    <m/>
    <m/>
    <m/>
    <m/>
    <m/>
    <n v="1.0000000000000002"/>
    <n v="1"/>
    <m/>
    <n v="1"/>
    <n v="1.0000000000000002"/>
  </r>
  <r>
    <x v="0"/>
    <s v="APLICAÇÃO DO GUARDA-PÓ  "/>
    <x v="1"/>
    <x v="8"/>
    <s v="TOM"/>
    <s v="NECESSÁRIO"/>
    <n v="0.6"/>
    <n v="0.5"/>
    <n v="0.4"/>
    <m/>
    <m/>
    <m/>
    <m/>
    <m/>
    <m/>
    <m/>
    <n v="0.5"/>
    <n v="1"/>
    <m/>
    <n v="1"/>
    <n v="0.5"/>
  </r>
  <r>
    <x v="0"/>
    <s v="APLICAÇÃO DO GUARDA-PÓ  "/>
    <x v="1"/>
    <x v="9"/>
    <s v="TOM"/>
    <s v="NECESSÁRIO"/>
    <n v="0.6"/>
    <n v="0.56999999999999995"/>
    <n v="0.55000000000000004"/>
    <m/>
    <m/>
    <m/>
    <m/>
    <m/>
    <m/>
    <m/>
    <n v="0.57000000000000006"/>
    <n v="1"/>
    <m/>
    <n v="1"/>
    <n v="0.57000000000000006"/>
  </r>
  <r>
    <x v="0"/>
    <s v="APLICAÇÃO DO GUARDA-PÓ  "/>
    <x v="1"/>
    <x v="10"/>
    <s v="TOM"/>
    <s v="AGREGA VALOR"/>
    <n v="0.45"/>
    <n v="0.25"/>
    <n v="0.47"/>
    <m/>
    <m/>
    <m/>
    <m/>
    <m/>
    <m/>
    <m/>
    <n v="0.44999999999999996"/>
    <n v="1"/>
    <m/>
    <n v="1"/>
    <n v="0.44999999999999996"/>
  </r>
  <r>
    <x v="0"/>
    <s v="EMBALAGEM SACO PLÁSTICO"/>
    <x v="2"/>
    <x v="11"/>
    <s v="TOM"/>
    <s v="NECESSÁRIO"/>
    <n v="0.65"/>
    <n v="0.75"/>
    <n v="1"/>
    <n v="0.875"/>
    <n v="0.97899999999999998"/>
    <n v="0.97399999999999998"/>
    <n v="0.90600000000000003"/>
    <n v="0.90900000000000003"/>
    <n v="0.97199999999999998"/>
    <n v="0.95699999999999996"/>
    <n v="0.9152499999999999"/>
    <n v="1"/>
    <m/>
    <n v="1"/>
    <n v="0.9152499999999999"/>
  </r>
  <r>
    <x v="0"/>
    <s v="EMBALAGEM SACO PLÁSTICO"/>
    <x v="2"/>
    <x v="12"/>
    <s v="TMO"/>
    <s v="AGREGA VALOR"/>
    <n v="1.47"/>
    <n v="1.33"/>
    <n v="1.33"/>
    <n v="1.47"/>
    <n v="1.4"/>
    <n v="1.347"/>
    <n v="1.4059999999999999"/>
    <n v="1.4"/>
    <n v="1.361"/>
    <n v="1.4"/>
    <n v="1.3892500000000001"/>
    <n v="1"/>
    <m/>
    <n v="1"/>
    <n v="1.3892500000000001"/>
  </r>
  <r>
    <x v="0"/>
    <s v="EMBALAGEM SACO PLÁSTICO"/>
    <x v="2"/>
    <x v="13"/>
    <s v="TMO"/>
    <s v="NECESSÁRIO"/>
    <n v="1.1000000000000001"/>
    <m/>
    <m/>
    <m/>
    <m/>
    <m/>
    <m/>
    <m/>
    <m/>
    <m/>
    <n v="1.1000000000000001"/>
    <n v="1"/>
    <m/>
    <n v="15"/>
    <n v="7.3333333333333334E-2"/>
  </r>
  <r>
    <x v="0"/>
    <s v="EMBALAGEM SACO PLÁSTICO"/>
    <x v="2"/>
    <x v="14"/>
    <s v="TMO"/>
    <s v="DESPERDÍCIO"/>
    <n v="120"/>
    <m/>
    <m/>
    <m/>
    <m/>
    <m/>
    <m/>
    <m/>
    <m/>
    <m/>
    <n v="120"/>
    <n v="1"/>
    <m/>
    <n v="100"/>
    <n v="1.2"/>
  </r>
  <r>
    <x v="0"/>
    <s v="CARTUCHO + MASTER"/>
    <x v="3"/>
    <x v="15"/>
    <s v="TOM"/>
    <s v="NECESSÁRIO"/>
    <n v="1"/>
    <n v="0.7"/>
    <n v="0.8"/>
    <n v="0.93"/>
    <n v="0.8"/>
    <n v="0.97699999999999998"/>
    <n v="0.94699999999999995"/>
    <n v="0.80300000000000005"/>
    <n v="0.90900000000000003"/>
    <n v="0.92900000000000005"/>
    <n v="0.88687499999999997"/>
    <n v="1"/>
    <m/>
    <n v="1"/>
    <n v="0.88687499999999997"/>
  </r>
  <r>
    <x v="0"/>
    <s v="CARTUCHO + MASTER"/>
    <x v="3"/>
    <x v="16"/>
    <s v="TOM"/>
    <s v="NECESSÁRIO"/>
    <n v="0.6"/>
    <n v="1"/>
    <n v="2.27"/>
    <n v="0.56999999999999995"/>
    <n v="0.56999999999999995"/>
    <n v="1.8779999999999999"/>
    <n v="0.70899999999999996"/>
    <n v="1.4550000000000001"/>
    <n v="0.65500000000000003"/>
    <n v="1.27"/>
    <n v="1.0171249999999998"/>
    <n v="1"/>
    <m/>
    <n v="1"/>
    <n v="1.0171249999999998"/>
  </r>
  <r>
    <x v="0"/>
    <s v="CARTUCHO + MASTER"/>
    <x v="3"/>
    <x v="17"/>
    <s v="TOM"/>
    <s v="AGREGA VALOR"/>
    <n v="2.13"/>
    <n v="1.83"/>
    <n v="2.8"/>
    <n v="2"/>
    <n v="1.73"/>
    <n v="1.8620000000000001"/>
    <n v="2.1840000000000002"/>
    <n v="1.7470000000000001"/>
    <n v="1.7430000000000001"/>
    <n v="2.0049999999999999"/>
    <n v="1.9376249999999997"/>
    <n v="1"/>
    <m/>
    <n v="1"/>
    <n v="1.9376249999999997"/>
  </r>
  <r>
    <x v="0"/>
    <s v="CARTUCHO + MASTER"/>
    <x v="3"/>
    <x v="18"/>
    <s v="TOM"/>
    <s v="NECESSÁRIO"/>
    <n v="0.67"/>
    <n v="0.56999999999999995"/>
    <n v="0.56999999999999995"/>
    <n v="0.56999999999999995"/>
    <n v="0.43"/>
    <n v="0.51300000000000001"/>
    <n v="0.53400000000000003"/>
    <n v="0.49299999999999999"/>
    <n v="0.49299999999999999"/>
    <n v="0.51800000000000002"/>
    <n v="0.53262500000000013"/>
    <n v="1"/>
    <m/>
    <n v="1"/>
    <n v="0.53262500000000013"/>
  </r>
  <r>
    <x v="1"/>
    <s v="CARTUCHO + MASTER"/>
    <x v="3"/>
    <x v="19"/>
    <s v="TOM"/>
    <s v="DESPERDÍCIO"/>
    <n v="2.13"/>
    <n v="0.4"/>
    <n v="0.63"/>
    <n v="0.56999999999999995"/>
    <n v="2.13"/>
    <n v="1.115"/>
    <n v="1.661"/>
    <n v="1.3919999999999999"/>
    <n v="0.76800000000000002"/>
    <n v="2.048"/>
    <n v="1.2892499999999998"/>
    <n v="1"/>
    <m/>
    <n v="1"/>
    <m/>
  </r>
  <r>
    <x v="1"/>
    <s v="CARTUCHO + MASTER"/>
    <x v="3"/>
    <x v="20"/>
    <s v="TOM"/>
    <s v="DESPERDÍCIO"/>
    <n v="6"/>
    <m/>
    <m/>
    <m/>
    <m/>
    <m/>
    <m/>
    <m/>
    <m/>
    <m/>
    <n v="6"/>
    <n v="1"/>
    <m/>
    <n v="10"/>
    <m/>
  </r>
  <r>
    <x v="0"/>
    <s v="CARTUCHO + MASTER"/>
    <x v="3"/>
    <x v="21"/>
    <s v="TOM"/>
    <s v="DESPERDÍCIO"/>
    <n v="100"/>
    <m/>
    <m/>
    <m/>
    <m/>
    <m/>
    <m/>
    <m/>
    <m/>
    <m/>
    <n v="100"/>
    <n v="1"/>
    <m/>
    <n v="100"/>
    <n v="1"/>
  </r>
  <r>
    <x v="0"/>
    <s v="CARTUCHO + MASTER"/>
    <x v="3"/>
    <x v="22"/>
    <s v="TOM"/>
    <s v="NECESSÁRIO"/>
    <n v="0.8"/>
    <m/>
    <m/>
    <m/>
    <m/>
    <m/>
    <m/>
    <m/>
    <m/>
    <m/>
    <n v="0.8"/>
    <n v="1"/>
    <m/>
    <n v="18"/>
    <n v="4.4444444444444446E-2"/>
  </r>
  <r>
    <x v="0"/>
    <s v="CARTUCHO + MASTER"/>
    <x v="3"/>
    <x v="23"/>
    <s v="TOM"/>
    <s v="NECESSÁRIO"/>
    <n v="1.03"/>
    <m/>
    <m/>
    <m/>
    <m/>
    <m/>
    <m/>
    <m/>
    <m/>
    <m/>
    <n v="1.03"/>
    <n v="1"/>
    <m/>
    <n v="18"/>
    <n v="5.7222222222222223E-2"/>
  </r>
  <r>
    <x v="0"/>
    <s v="CARTUCHO + MASTER"/>
    <x v="3"/>
    <x v="24"/>
    <s v="TOM"/>
    <s v="DESPERDÍCIO"/>
    <n v="1.7"/>
    <m/>
    <m/>
    <m/>
    <m/>
    <m/>
    <m/>
    <m/>
    <m/>
    <m/>
    <n v="1.7"/>
    <n v="1"/>
    <m/>
    <n v="18"/>
    <n v="9.4444444444444442E-2"/>
  </r>
  <r>
    <x v="1"/>
    <s v="CARTUCHO + MASTER"/>
    <x v="3"/>
    <x v="25"/>
    <s v="TOM"/>
    <s v="DESPERDÍCIO"/>
    <n v="0.73"/>
    <m/>
    <m/>
    <m/>
    <m/>
    <m/>
    <m/>
    <m/>
    <m/>
    <m/>
    <n v="0.73"/>
    <n v="1"/>
    <m/>
    <n v="18"/>
    <m/>
  </r>
  <r>
    <x v="1"/>
    <s v="CARTUCHO + MASTER"/>
    <x v="3"/>
    <x v="26"/>
    <s v="TOM"/>
    <s v="NECESSÁRIO"/>
    <n v="1.47"/>
    <m/>
    <m/>
    <m/>
    <m/>
    <m/>
    <m/>
    <m/>
    <m/>
    <m/>
    <n v="1.47"/>
    <n v="1"/>
    <m/>
    <n v="18"/>
    <m/>
  </r>
  <r>
    <x v="1"/>
    <s v="CARTUCHO + MASTER"/>
    <x v="3"/>
    <x v="27"/>
    <s v="TOM"/>
    <s v="DESPERDÍCIO"/>
    <n v="1"/>
    <m/>
    <m/>
    <m/>
    <m/>
    <m/>
    <m/>
    <m/>
    <m/>
    <m/>
    <n v="1"/>
    <n v="1"/>
    <m/>
    <n v="18"/>
    <m/>
  </r>
  <r>
    <x v="0"/>
    <s v="CARTUCHO + MASTER"/>
    <x v="3"/>
    <x v="28"/>
    <s v="TOM"/>
    <s v="DESPERDÍCIO"/>
    <n v="2.2000000000000002"/>
    <m/>
    <m/>
    <m/>
    <m/>
    <m/>
    <m/>
    <m/>
    <m/>
    <m/>
    <n v="2.2000000000000002"/>
    <n v="1"/>
    <m/>
    <n v="18"/>
    <n v="0.12222222222222223"/>
  </r>
  <r>
    <x v="0"/>
    <s v="CARTUCHO + MASTER"/>
    <x v="3"/>
    <x v="29"/>
    <s v="TOM"/>
    <s v="NECESSÁRIO"/>
    <n v="14"/>
    <m/>
    <m/>
    <m/>
    <m/>
    <m/>
    <m/>
    <m/>
    <m/>
    <m/>
    <n v="14"/>
    <n v="1"/>
    <m/>
    <n v="18"/>
    <n v="0.77777777777777779"/>
  </r>
  <r>
    <x v="0"/>
    <s v="CARTUCHO + MASTER"/>
    <x v="3"/>
    <x v="30"/>
    <s v="TOM"/>
    <s v="NECESSÁRIO"/>
    <n v="2.4700000000000002"/>
    <m/>
    <m/>
    <m/>
    <m/>
    <m/>
    <m/>
    <m/>
    <m/>
    <m/>
    <n v="2.4700000000000002"/>
    <n v="1"/>
    <m/>
    <n v="18"/>
    <n v="0.13722222222222225"/>
  </r>
  <r>
    <x v="1"/>
    <s v="CARTUCHO + MASTER"/>
    <x v="3"/>
    <x v="31"/>
    <s v="TOM"/>
    <s v="NECESSÁRIO"/>
    <n v="1.2"/>
    <m/>
    <m/>
    <m/>
    <m/>
    <m/>
    <m/>
    <m/>
    <m/>
    <m/>
    <n v="1.2"/>
    <n v="1"/>
    <m/>
    <n v="18"/>
    <m/>
  </r>
  <r>
    <x v="1"/>
    <s v="CARTUCHO + MASTER"/>
    <x v="3"/>
    <x v="32"/>
    <s v="TOM"/>
    <s v="NECESSÁRIO"/>
    <n v="1.07"/>
    <m/>
    <m/>
    <m/>
    <m/>
    <m/>
    <m/>
    <m/>
    <m/>
    <m/>
    <n v="1.07"/>
    <n v="1"/>
    <m/>
    <n v="18"/>
    <m/>
  </r>
  <r>
    <x v="1"/>
    <s v="CARTUCHO + MASTER"/>
    <x v="3"/>
    <x v="27"/>
    <s v="TOM"/>
    <s v="DESPERDÍCIO"/>
    <n v="0.83"/>
    <m/>
    <m/>
    <m/>
    <m/>
    <m/>
    <m/>
    <m/>
    <m/>
    <m/>
    <n v="0.83"/>
    <n v="1"/>
    <m/>
    <n v="18"/>
    <m/>
  </r>
  <r>
    <x v="0"/>
    <s v="CARTUCHO + MASTER"/>
    <x v="3"/>
    <x v="33"/>
    <s v="TOM"/>
    <s v="DESPERDÍCIO"/>
    <n v="0.93"/>
    <m/>
    <m/>
    <m/>
    <m/>
    <m/>
    <m/>
    <m/>
    <m/>
    <m/>
    <n v="0.93"/>
    <n v="1"/>
    <m/>
    <n v="18"/>
    <n v="5.1666666666666666E-2"/>
  </r>
  <r>
    <x v="0"/>
    <s v="CARTUCHO + MASTER"/>
    <x v="3"/>
    <x v="34"/>
    <s v="TOM"/>
    <s v="NECESSÁRIO"/>
    <n v="4.87"/>
    <m/>
    <m/>
    <m/>
    <m/>
    <m/>
    <m/>
    <m/>
    <m/>
    <m/>
    <n v="4.87"/>
    <n v="1"/>
    <m/>
    <n v="18"/>
    <n v="0.27055555555555555"/>
  </r>
  <r>
    <x v="1"/>
    <s v="CARTUCHO + MASTER"/>
    <x v="3"/>
    <x v="35"/>
    <s v="TOM"/>
    <s v="DESPERDÍCIO"/>
    <n v="3.6"/>
    <m/>
    <m/>
    <m/>
    <m/>
    <m/>
    <m/>
    <m/>
    <m/>
    <m/>
    <n v="3.6"/>
    <n v="1"/>
    <m/>
    <n v="18"/>
    <m/>
  </r>
  <r>
    <x v="0"/>
    <s v="CARTUCHO + MASTER"/>
    <x v="3"/>
    <x v="36"/>
    <s v="TOM"/>
    <s v="DESPERDÍCIO"/>
    <n v="1.06"/>
    <m/>
    <m/>
    <m/>
    <m/>
    <m/>
    <m/>
    <m/>
    <m/>
    <m/>
    <n v="1.06"/>
    <n v="1"/>
    <m/>
    <n v="18"/>
    <n v="5.8888888888888893E-2"/>
  </r>
  <r>
    <x v="0"/>
    <s v="CARTUCHO + MASTER"/>
    <x v="3"/>
    <x v="37"/>
    <s v="TOM"/>
    <s v="NECESSÁRIO"/>
    <n v="100"/>
    <m/>
    <m/>
    <m/>
    <m/>
    <m/>
    <m/>
    <m/>
    <m/>
    <m/>
    <n v="100"/>
    <n v="1"/>
    <m/>
    <n v="90"/>
    <n v="1.1111111111111112"/>
  </r>
  <r>
    <x v="0"/>
    <s v="CARTUCHO + MASTER"/>
    <x v="3"/>
    <x v="38"/>
    <s v="TOM"/>
    <s v="NECESSÁRIO"/>
    <n v="0.83"/>
    <n v="1.4"/>
    <n v="0.9"/>
    <n v="0.87"/>
    <n v="0.87"/>
    <n v="0.83919049771573351"/>
    <n v="1.1860711679924729"/>
    <n v="1.159219042965945"/>
    <n v="0.90109433117876148"/>
    <n v="0.87790577260296521"/>
    <n v="0.95043510155698474"/>
    <n v="1"/>
    <m/>
    <n v="1"/>
    <n v="0.95043510155698474"/>
  </r>
  <r>
    <x v="0"/>
    <s v="CARTUCHO + MASTER"/>
    <x v="3"/>
    <x v="39"/>
    <s v="TOM"/>
    <s v="DESPERDÍCIO"/>
    <n v="2.5"/>
    <m/>
    <m/>
    <m/>
    <m/>
    <m/>
    <m/>
    <m/>
    <m/>
    <m/>
    <n v="2.5"/>
    <n v="1"/>
    <m/>
    <n v="50"/>
    <n v="0.05"/>
  </r>
  <r>
    <x v="0"/>
    <s v="CARTUCHO + MASTER"/>
    <x v="3"/>
    <x v="40"/>
    <s v="TOM"/>
    <s v="DESPERDÍCIO"/>
    <n v="12"/>
    <m/>
    <m/>
    <m/>
    <m/>
    <m/>
    <m/>
    <m/>
    <m/>
    <m/>
    <n v="12"/>
    <n v="1"/>
    <m/>
    <n v="50"/>
    <n v="0.24"/>
  </r>
  <r>
    <x v="0"/>
    <s v="CARTUCHO + MASTER"/>
    <x v="3"/>
    <x v="41"/>
    <s v="TOM"/>
    <s v="DESPERDÍCIO"/>
    <n v="13"/>
    <m/>
    <m/>
    <m/>
    <m/>
    <m/>
    <m/>
    <m/>
    <m/>
    <m/>
    <n v="13"/>
    <n v="1"/>
    <m/>
    <n v="50"/>
    <n v="0.26"/>
  </r>
  <r>
    <x v="0"/>
    <s v="CARTUCHO + MASTER"/>
    <x v="3"/>
    <x v="42"/>
    <s v="TOM"/>
    <s v="NECESSÁRIO"/>
    <n v="120"/>
    <m/>
    <m/>
    <m/>
    <m/>
    <m/>
    <m/>
    <m/>
    <m/>
    <m/>
    <n v="120"/>
    <n v="1"/>
    <m/>
    <n v="450"/>
    <n v="0.26666666666666666"/>
  </r>
  <r>
    <x v="0"/>
    <s v="APLICAÇÃO DO GUARDA-PÓ  "/>
    <x v="1"/>
    <x v="43"/>
    <s v="TOM"/>
    <s v="NECESSÁRIO"/>
    <n v="120"/>
    <m/>
    <m/>
    <m/>
    <m/>
    <m/>
    <m/>
    <m/>
    <m/>
    <m/>
    <n v="120"/>
    <n v="1"/>
    <m/>
    <n v="150"/>
    <n v="0.8"/>
  </r>
  <r>
    <x v="0"/>
    <s v="APLICAÇÃO DO GUARDA-PÓ  "/>
    <x v="1"/>
    <x v="44"/>
    <s v="TOM"/>
    <s v="NECESSÁRIO"/>
    <n v="120"/>
    <m/>
    <m/>
    <m/>
    <m/>
    <m/>
    <m/>
    <m/>
    <m/>
    <m/>
    <n v="120"/>
    <n v="1"/>
    <m/>
    <n v="150"/>
    <n v="0.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s v="FECHAMENTO + GRAVAÇÃO + PRÉ-MONTAGEM"/>
    <x v="0"/>
    <x v="0"/>
    <s v="TMP"/>
    <s v="NECESSÁRIO"/>
    <n v="1.93"/>
    <n v="1.57"/>
    <n v="1.63"/>
    <n v="1.67"/>
    <m/>
    <m/>
    <m/>
    <m/>
    <m/>
    <m/>
    <n v="1.65"/>
    <n v="1"/>
    <m/>
    <n v="1"/>
    <n v="1.65"/>
  </r>
  <r>
    <s v="FECHAMENTO + GRAVAÇÃO + PRÉ-MONTAGEM"/>
    <x v="0"/>
    <x v="1"/>
    <s v="TMP"/>
    <s v="DESPERDÍCIO"/>
    <n v="0.67"/>
    <n v="1.23"/>
    <n v="0.6"/>
    <n v="0.9"/>
    <m/>
    <m/>
    <m/>
    <m/>
    <m/>
    <m/>
    <n v="0.78499999999999992"/>
    <n v="1"/>
    <m/>
    <n v="1"/>
    <n v="0.78499999999999992"/>
  </r>
  <r>
    <s v="FECHAMENTO + GRAVAÇÃO + PRÉ-MONTAGEM"/>
    <x v="0"/>
    <x v="2"/>
    <s v="TMP"/>
    <s v="AGREGA VALOR"/>
    <n v="0.5"/>
    <n v="0.6"/>
    <n v="0.43"/>
    <n v="0.23"/>
    <m/>
    <m/>
    <m/>
    <m/>
    <m/>
    <m/>
    <n v="0.46500000000000008"/>
    <n v="1"/>
    <m/>
    <n v="1"/>
    <n v="0.46500000000000008"/>
  </r>
  <r>
    <s v="FECHAMENTO + GRAVAÇÃO + PRÉ-MONTAGEM"/>
    <x v="0"/>
    <x v="3"/>
    <s v="TMP"/>
    <s v="NECESSÁRIO"/>
    <n v="1.57"/>
    <n v="0.93"/>
    <n v="0.9"/>
    <n v="0.8"/>
    <m/>
    <m/>
    <m/>
    <m/>
    <m/>
    <m/>
    <n v="0.91499999999999992"/>
    <n v="1"/>
    <m/>
    <n v="1"/>
    <n v="0.91499999999999992"/>
  </r>
  <r>
    <s v="FECHAMENTO + GRAVAÇÃO + PRÉ-MONTAGEM"/>
    <x v="0"/>
    <x v="4"/>
    <s v="TMP"/>
    <s v="DESPERDÍCIO"/>
    <m/>
    <m/>
    <n v="0.5"/>
    <m/>
    <m/>
    <m/>
    <m/>
    <m/>
    <m/>
    <m/>
    <n v="0.5"/>
    <n v="1"/>
    <m/>
    <n v="1"/>
    <n v="0.5"/>
  </r>
  <r>
    <s v="FECHAMENTO + GRAVAÇÃO + PRÉ-MONTAGEM"/>
    <x v="0"/>
    <x v="5"/>
    <s v="TMP"/>
    <s v="NECESSÁRIO"/>
    <n v="2.33"/>
    <n v="1.87"/>
    <n v="1.83"/>
    <n v="0"/>
    <m/>
    <m/>
    <m/>
    <m/>
    <m/>
    <m/>
    <n v="1.85"/>
    <n v="1"/>
    <m/>
    <n v="1"/>
    <n v="1.85"/>
  </r>
  <r>
    <s v="APLICAÇÃO DO GUARDA-PÓ  "/>
    <x v="1"/>
    <x v="6"/>
    <s v="TOM"/>
    <s v="NECESSÁRIO"/>
    <n v="1.67"/>
    <n v="1.5"/>
    <n v="1.6"/>
    <m/>
    <m/>
    <m/>
    <m/>
    <m/>
    <m/>
    <m/>
    <n v="1.5999999999999996"/>
    <n v="1"/>
    <m/>
    <n v="1"/>
    <n v="1.5999999999999996"/>
  </r>
  <r>
    <s v="APLICAÇÃO DO GUARDA-PÓ  "/>
    <x v="1"/>
    <x v="7"/>
    <s v="TOM"/>
    <s v="NECESSÁRIO"/>
    <n v="1.07"/>
    <n v="1.27"/>
    <n v="0.97"/>
    <m/>
    <m/>
    <m/>
    <m/>
    <m/>
    <m/>
    <m/>
    <n v="1.0699999999999996"/>
    <n v="1"/>
    <m/>
    <n v="1"/>
    <n v="1.0699999999999996"/>
  </r>
  <r>
    <s v="APLICAÇÃO DO GUARDA-PÓ  "/>
    <x v="1"/>
    <x v="8"/>
    <s v="TOM"/>
    <s v="NECESSÁRIO"/>
    <n v="0.73"/>
    <n v="0.67"/>
    <n v="0.56999999999999995"/>
    <m/>
    <m/>
    <m/>
    <m/>
    <m/>
    <m/>
    <m/>
    <n v="0.66999999999999982"/>
    <n v="1"/>
    <m/>
    <n v="1"/>
    <n v="0.66999999999999982"/>
  </r>
  <r>
    <s v="APLICAÇÃO DO GUARDA-PÓ  "/>
    <x v="1"/>
    <x v="9"/>
    <s v="TOM"/>
    <s v="NECESSÁRIO"/>
    <n v="0.67"/>
    <n v="0.67"/>
    <n v="0.67"/>
    <m/>
    <m/>
    <m/>
    <m/>
    <m/>
    <m/>
    <m/>
    <n v="0.67000000000000026"/>
    <n v="1"/>
    <m/>
    <n v="1"/>
    <n v="0.67000000000000026"/>
  </r>
  <r>
    <s v="APLICAÇÃO DO GUARDA-PÓ  "/>
    <x v="1"/>
    <x v="10"/>
    <s v="TOM"/>
    <s v="AGREGA VALOR"/>
    <n v="0.56999999999999995"/>
    <n v="0.3"/>
    <n v="0.56999999999999995"/>
    <m/>
    <m/>
    <m/>
    <m/>
    <m/>
    <m/>
    <m/>
    <n v="0.57000000000000006"/>
    <n v="1"/>
    <m/>
    <n v="1"/>
    <n v="0.57000000000000006"/>
  </r>
  <r>
    <s v="EMBALAGEM SACO PLÁSTICO"/>
    <x v="2"/>
    <x v="11"/>
    <s v="TOM"/>
    <s v="NECESSÁRIO"/>
    <n v="0.77"/>
    <n v="0.87"/>
    <n v="1.1000000000000001"/>
    <n v="0.875"/>
    <n v="0.97899999999999998"/>
    <n v="0.97399999999999998"/>
    <n v="0.90600000000000003"/>
    <n v="0.90900000000000003"/>
    <n v="0.97199999999999998"/>
    <n v="0.95699999999999996"/>
    <n v="0.93025000000000024"/>
    <n v="1"/>
    <m/>
    <n v="1"/>
    <n v="0.93025000000000024"/>
  </r>
  <r>
    <s v="EMBALAGEM SACO PLÁSTICO"/>
    <x v="2"/>
    <x v="12"/>
    <s v="TMO"/>
    <s v="AGREGA VALOR"/>
    <n v="1.47"/>
    <n v="1.33"/>
    <n v="1.33"/>
    <n v="1.47"/>
    <n v="1.4"/>
    <n v="1.347"/>
    <n v="1.4059999999999999"/>
    <n v="1.4"/>
    <n v="1.361"/>
    <n v="1.4"/>
    <n v="1.3892500000000001"/>
    <n v="1"/>
    <m/>
    <n v="1"/>
    <n v="1.3892500000000001"/>
  </r>
  <r>
    <s v="EMBALAGEM SACO PLÁSTICO"/>
    <x v="2"/>
    <x v="13"/>
    <s v="TMO"/>
    <s v="NECESSÁRIO"/>
    <n v="1.1000000000000001"/>
    <m/>
    <m/>
    <m/>
    <m/>
    <m/>
    <m/>
    <m/>
    <m/>
    <m/>
    <n v="1.1000000000000001"/>
    <n v="1"/>
    <m/>
    <n v="15"/>
    <n v="7.3333333333333334E-2"/>
  </r>
  <r>
    <s v="EMBALAGEM SACO PLÁSTICO"/>
    <x v="2"/>
    <x v="14"/>
    <s v="TMO"/>
    <s v="DESPERDÍCIO"/>
    <n v="120"/>
    <m/>
    <m/>
    <m/>
    <m/>
    <m/>
    <m/>
    <m/>
    <m/>
    <m/>
    <n v="120"/>
    <n v="1"/>
    <m/>
    <n v="100"/>
    <n v="1.2"/>
  </r>
  <r>
    <s v="CARTUCHO"/>
    <x v="3"/>
    <x v="15"/>
    <s v="TOM"/>
    <s v="NECESSÁRIO"/>
    <n v="1"/>
    <n v="0.7"/>
    <n v="0.8"/>
    <n v="0.93"/>
    <n v="0.8"/>
    <n v="0.97699999999999998"/>
    <n v="0.94699999999999995"/>
    <n v="0.80300000000000005"/>
    <n v="0.90900000000000003"/>
    <n v="0.92900000000000005"/>
    <n v="0.88687499999999997"/>
    <n v="1"/>
    <m/>
    <n v="1"/>
    <n v="0.88687499999999997"/>
  </r>
  <r>
    <s v="CARTUCHO"/>
    <x v="3"/>
    <x v="16"/>
    <s v="TOM"/>
    <s v="NECESSÁRIO"/>
    <n v="0.6"/>
    <n v="1"/>
    <n v="2.27"/>
    <n v="0.56999999999999995"/>
    <n v="0.56999999999999995"/>
    <n v="1.8779999999999999"/>
    <n v="0.70899999999999996"/>
    <n v="1.4550000000000001"/>
    <n v="0.65500000000000003"/>
    <n v="1.27"/>
    <n v="1.0171249999999998"/>
    <n v="1"/>
    <m/>
    <n v="1"/>
    <n v="1.0171249999999998"/>
  </r>
  <r>
    <s v="CARTUCHO"/>
    <x v="3"/>
    <x v="17"/>
    <s v="TOM"/>
    <s v="AGREGA VALOR"/>
    <n v="2.13"/>
    <n v="1.83"/>
    <n v="2.8"/>
    <n v="2"/>
    <n v="1.73"/>
    <n v="1.8620000000000001"/>
    <n v="2.1840000000000002"/>
    <n v="1.7470000000000001"/>
    <n v="1.7430000000000001"/>
    <n v="2.0049999999999999"/>
    <n v="1.9376249999999997"/>
    <n v="1"/>
    <m/>
    <n v="1"/>
    <n v="1.9376249999999997"/>
  </r>
  <r>
    <s v="CARTUCHO"/>
    <x v="3"/>
    <x v="18"/>
    <s v="TOM"/>
    <s v="NECESSÁRIO"/>
    <n v="0.67"/>
    <n v="0.56999999999999995"/>
    <n v="0.56999999999999995"/>
    <n v="0.56999999999999995"/>
    <n v="0.43"/>
    <n v="0.51300000000000001"/>
    <n v="0.53400000000000003"/>
    <n v="0.49299999999999999"/>
    <n v="0.49299999999999999"/>
    <n v="0.51800000000000002"/>
    <n v="0.53262500000000013"/>
    <n v="1"/>
    <m/>
    <n v="1"/>
    <n v="0.53262500000000013"/>
  </r>
  <r>
    <s v="CARTUCHO"/>
    <x v="3"/>
    <x v="19"/>
    <s v="TOM"/>
    <s v="DESPERDÍCIO"/>
    <n v="2.13"/>
    <n v="0.4"/>
    <n v="0.63"/>
    <n v="0.56999999999999995"/>
    <n v="2.13"/>
    <n v="1.115"/>
    <n v="1.661"/>
    <n v="1.3919999999999999"/>
    <n v="0.76800000000000002"/>
    <n v="2.048"/>
    <n v="1.2892499999999998"/>
    <n v="1"/>
    <m/>
    <n v="1"/>
    <n v="1.2892499999999998"/>
  </r>
  <r>
    <s v="CARTUCHO"/>
    <x v="3"/>
    <x v="20"/>
    <s v="TOM"/>
    <s v="DESPERDÍCIO"/>
    <n v="6"/>
    <m/>
    <m/>
    <m/>
    <m/>
    <m/>
    <m/>
    <m/>
    <m/>
    <m/>
    <n v="6"/>
    <n v="1"/>
    <m/>
    <n v="10"/>
    <n v="0.6"/>
  </r>
  <r>
    <s v="CARTUCHO"/>
    <x v="3"/>
    <x v="21"/>
    <s v="TOM"/>
    <s v="DESPERDÍCIO"/>
    <n v="120"/>
    <m/>
    <m/>
    <m/>
    <m/>
    <m/>
    <m/>
    <m/>
    <m/>
    <m/>
    <n v="120"/>
    <n v="1"/>
    <m/>
    <n v="100"/>
    <n v="1.2"/>
  </r>
  <r>
    <s v="MASTER"/>
    <x v="4"/>
    <x v="22"/>
    <s v="TOM"/>
    <s v="NECESSÁRIO"/>
    <n v="0.9"/>
    <m/>
    <m/>
    <m/>
    <m/>
    <m/>
    <m/>
    <m/>
    <m/>
    <m/>
    <n v="0.9"/>
    <n v="1"/>
    <m/>
    <n v="18"/>
    <n v="0.05"/>
  </r>
  <r>
    <s v="MASTER"/>
    <x v="4"/>
    <x v="23"/>
    <s v="TOM"/>
    <s v="NECESSÁRIO"/>
    <n v="1.03"/>
    <m/>
    <m/>
    <m/>
    <m/>
    <m/>
    <m/>
    <m/>
    <m/>
    <m/>
    <n v="1.03"/>
    <n v="1"/>
    <m/>
    <n v="18"/>
    <n v="5.7222222222222223E-2"/>
  </r>
  <r>
    <s v="MASTER"/>
    <x v="4"/>
    <x v="24"/>
    <s v="TOM"/>
    <s v="DESPERDÍCIO"/>
    <n v="1.8"/>
    <m/>
    <m/>
    <m/>
    <m/>
    <m/>
    <m/>
    <m/>
    <m/>
    <m/>
    <n v="1.8"/>
    <n v="1"/>
    <m/>
    <n v="18"/>
    <n v="0.1"/>
  </r>
  <r>
    <s v="MASTER"/>
    <x v="4"/>
    <x v="25"/>
    <s v="TOM"/>
    <s v="DESPERDÍCIO"/>
    <n v="0.73"/>
    <m/>
    <m/>
    <m/>
    <m/>
    <m/>
    <m/>
    <m/>
    <m/>
    <m/>
    <n v="0.73"/>
    <n v="1"/>
    <m/>
    <n v="18"/>
    <n v="4.0555555555555553E-2"/>
  </r>
  <r>
    <s v="MASTER"/>
    <x v="4"/>
    <x v="26"/>
    <s v="TOM"/>
    <s v="NECESSÁRIO"/>
    <n v="1.47"/>
    <m/>
    <m/>
    <m/>
    <m/>
    <m/>
    <m/>
    <m/>
    <m/>
    <m/>
    <n v="1.47"/>
    <n v="1"/>
    <m/>
    <n v="18"/>
    <n v="8.1666666666666665E-2"/>
  </r>
  <r>
    <s v="MASTER"/>
    <x v="4"/>
    <x v="27"/>
    <s v="TOM"/>
    <s v="DESPERDÍCIO"/>
    <n v="1"/>
    <m/>
    <m/>
    <m/>
    <m/>
    <m/>
    <m/>
    <m/>
    <m/>
    <m/>
    <n v="1"/>
    <n v="1"/>
    <m/>
    <n v="18"/>
    <n v="5.5555555555555552E-2"/>
  </r>
  <r>
    <s v="MASTER"/>
    <x v="4"/>
    <x v="28"/>
    <s v="TOM"/>
    <s v="DESPERDÍCIO"/>
    <n v="2.33"/>
    <m/>
    <m/>
    <m/>
    <m/>
    <m/>
    <m/>
    <m/>
    <m/>
    <m/>
    <n v="2.33"/>
    <n v="1"/>
    <m/>
    <n v="18"/>
    <n v="0.12944444444444445"/>
  </r>
  <r>
    <s v="MASTER"/>
    <x v="4"/>
    <x v="29"/>
    <s v="TOM"/>
    <s v="NECESSÁRIO"/>
    <n v="16"/>
    <m/>
    <m/>
    <m/>
    <m/>
    <m/>
    <m/>
    <m/>
    <m/>
    <m/>
    <n v="16"/>
    <n v="1"/>
    <m/>
    <n v="18"/>
    <n v="0.88888888888888884"/>
  </r>
  <r>
    <s v="MASTER"/>
    <x v="4"/>
    <x v="30"/>
    <s v="TOM"/>
    <s v="NECESSÁRIO"/>
    <n v="2.4700000000000002"/>
    <m/>
    <m/>
    <m/>
    <m/>
    <m/>
    <m/>
    <m/>
    <m/>
    <m/>
    <n v="2.4700000000000002"/>
    <n v="1"/>
    <m/>
    <n v="18"/>
    <n v="0.13722222222222225"/>
  </r>
  <r>
    <s v="MASTER"/>
    <x v="4"/>
    <x v="31"/>
    <s v="TOM"/>
    <s v="NECESSÁRIO"/>
    <n v="1.2"/>
    <m/>
    <m/>
    <m/>
    <m/>
    <m/>
    <m/>
    <m/>
    <m/>
    <m/>
    <n v="1.2"/>
    <n v="1"/>
    <m/>
    <n v="18"/>
    <n v="6.6666666666666666E-2"/>
  </r>
  <r>
    <s v="MASTER"/>
    <x v="4"/>
    <x v="32"/>
    <s v="TOM"/>
    <s v="NECESSÁRIO"/>
    <n v="1.07"/>
    <m/>
    <m/>
    <m/>
    <m/>
    <m/>
    <m/>
    <m/>
    <m/>
    <m/>
    <n v="1.07"/>
    <n v="1"/>
    <m/>
    <n v="18"/>
    <n v="5.9444444444444446E-2"/>
  </r>
  <r>
    <s v="MASTER"/>
    <x v="4"/>
    <x v="27"/>
    <s v="TOM"/>
    <s v="DESPERDÍCIO"/>
    <n v="0.83"/>
    <m/>
    <m/>
    <m/>
    <m/>
    <m/>
    <m/>
    <m/>
    <m/>
    <m/>
    <n v="0.83"/>
    <n v="1"/>
    <m/>
    <n v="18"/>
    <n v="4.611111111111111E-2"/>
  </r>
  <r>
    <s v="MASTER"/>
    <x v="4"/>
    <x v="33"/>
    <s v="TOM"/>
    <s v="DESPERDÍCIO"/>
    <n v="0.93"/>
    <m/>
    <m/>
    <m/>
    <m/>
    <m/>
    <m/>
    <m/>
    <m/>
    <m/>
    <n v="0.93"/>
    <n v="1"/>
    <m/>
    <n v="18"/>
    <n v="5.1666666666666666E-2"/>
  </r>
  <r>
    <s v="MASTER"/>
    <x v="4"/>
    <x v="34"/>
    <s v="TOM"/>
    <s v="NECESSÁRIO"/>
    <n v="4.87"/>
    <m/>
    <m/>
    <m/>
    <m/>
    <m/>
    <m/>
    <m/>
    <m/>
    <m/>
    <n v="4.87"/>
    <n v="1"/>
    <m/>
    <n v="18"/>
    <n v="0.27055555555555555"/>
  </r>
  <r>
    <s v="MASTER"/>
    <x v="4"/>
    <x v="35"/>
    <s v="TOM"/>
    <s v="DESPERDÍCIO"/>
    <n v="3.6"/>
    <m/>
    <m/>
    <m/>
    <m/>
    <m/>
    <m/>
    <m/>
    <m/>
    <m/>
    <n v="3.6"/>
    <n v="1"/>
    <m/>
    <n v="18"/>
    <n v="0.2"/>
  </r>
  <r>
    <s v="MASTER"/>
    <x v="4"/>
    <x v="36"/>
    <s v="TOM"/>
    <s v="DESPERDÍCIO"/>
    <n v="1.06"/>
    <m/>
    <m/>
    <m/>
    <m/>
    <m/>
    <m/>
    <m/>
    <m/>
    <m/>
    <n v="1.06"/>
    <n v="1"/>
    <m/>
    <n v="18"/>
    <n v="5.8888888888888893E-2"/>
  </r>
  <r>
    <s v="MASTER"/>
    <x v="4"/>
    <x v="37"/>
    <s v="TOM"/>
    <s v="NECESSÁRIO"/>
    <n v="120"/>
    <m/>
    <m/>
    <m/>
    <m/>
    <m/>
    <m/>
    <m/>
    <m/>
    <m/>
    <n v="120"/>
    <n v="1"/>
    <m/>
    <n v="90"/>
    <n v="1.3333333333333333"/>
  </r>
  <r>
    <s v="MASTER"/>
    <x v="4"/>
    <x v="38"/>
    <s v="TOM"/>
    <s v="NECESSÁRIO"/>
    <n v="0.83"/>
    <n v="1.4"/>
    <n v="0.9"/>
    <n v="0.87"/>
    <n v="0.87"/>
    <n v="0.83919049771573351"/>
    <n v="1.1860711679924729"/>
    <n v="1.159219042965945"/>
    <n v="0.90109433117876148"/>
    <n v="0.87790577260296521"/>
    <n v="0.95043510155698474"/>
    <n v="1"/>
    <m/>
    <n v="1"/>
    <n v="0.95043510155698474"/>
  </r>
  <r>
    <s v="MASTER"/>
    <x v="4"/>
    <x v="39"/>
    <s v="TOM"/>
    <s v="DESPERDÍCIO"/>
    <n v="2.5"/>
    <m/>
    <m/>
    <m/>
    <m/>
    <m/>
    <m/>
    <m/>
    <m/>
    <m/>
    <n v="2.5"/>
    <n v="1"/>
    <m/>
    <n v="50"/>
    <n v="0.05"/>
  </r>
  <r>
    <s v="MASTER"/>
    <x v="4"/>
    <x v="40"/>
    <s v="TOM"/>
    <s v="DESPERDÍCIO"/>
    <n v="13.93"/>
    <m/>
    <m/>
    <m/>
    <m/>
    <m/>
    <m/>
    <m/>
    <m/>
    <m/>
    <n v="13.93"/>
    <n v="1"/>
    <m/>
    <n v="50"/>
    <n v="0.27860000000000001"/>
  </r>
  <r>
    <s v="MASTER"/>
    <x v="4"/>
    <x v="41"/>
    <s v="TOM"/>
    <s v="DESPERDÍCIO"/>
    <n v="14.17"/>
    <m/>
    <m/>
    <m/>
    <m/>
    <m/>
    <m/>
    <m/>
    <m/>
    <m/>
    <n v="14.17"/>
    <n v="1"/>
    <m/>
    <n v="50"/>
    <n v="0.28339999999999999"/>
  </r>
  <r>
    <s v="MASTER"/>
    <x v="4"/>
    <x v="42"/>
    <s v="TOM"/>
    <s v="NECESSÁRIO"/>
    <n v="180"/>
    <m/>
    <m/>
    <m/>
    <m/>
    <m/>
    <m/>
    <m/>
    <m/>
    <m/>
    <n v="180"/>
    <n v="1"/>
    <m/>
    <n v="450"/>
    <n v="0.4"/>
  </r>
  <r>
    <s v="APLICAÇÃO DO GUARDA-PÓ  "/>
    <x v="1"/>
    <x v="43"/>
    <s v="TOM"/>
    <s v="NECESSÁRIO"/>
    <n v="120"/>
    <m/>
    <m/>
    <m/>
    <m/>
    <m/>
    <m/>
    <m/>
    <m/>
    <m/>
    <n v="120"/>
    <n v="1"/>
    <m/>
    <n v="150"/>
    <n v="0.8"/>
  </r>
  <r>
    <s v="APLICAÇÃO DO GUARDA-PÓ  "/>
    <x v="1"/>
    <x v="44"/>
    <s v="TOM"/>
    <s v="NECESSÁRIO"/>
    <n v="120"/>
    <m/>
    <m/>
    <m/>
    <m/>
    <m/>
    <m/>
    <m/>
    <m/>
    <m/>
    <n v="120"/>
    <n v="1"/>
    <m/>
    <n v="150"/>
    <n v="0.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8E3491-2B6E-41A3-BF98-23686CCB512E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A3:C54" firstHeaderRow="0" firstDataRow="1" firstDataCol="1"/>
  <pivotFields count="20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Row" dataField="1" showAll="0">
      <items count="47">
        <item x="29"/>
        <item x="21"/>
        <item x="14"/>
        <item x="2"/>
        <item x="20"/>
        <item x="38"/>
        <item x="23"/>
        <item x="12"/>
        <item x="40"/>
        <item x="19"/>
        <item x="24"/>
        <item x="4"/>
        <item x="18"/>
        <item x="30"/>
        <item x="32"/>
        <item x="26"/>
        <item x="27"/>
        <item x="42"/>
        <item x="43"/>
        <item x="36"/>
        <item x="37"/>
        <item x="1"/>
        <item x="44"/>
        <item x="22"/>
        <item x="17"/>
        <item x="15"/>
        <item x="11"/>
        <item x="16"/>
        <item x="13"/>
        <item x="34"/>
        <item x="25"/>
        <item x="0"/>
        <item x="31"/>
        <item x="35"/>
        <item m="1" x="45"/>
        <item x="39"/>
        <item x="41"/>
        <item x="5"/>
        <item x="6"/>
        <item x="3"/>
        <item x="10"/>
        <item x="28"/>
        <item x="33"/>
        <item x="7"/>
        <item x="8"/>
        <item x="9"/>
        <item t="default"/>
      </items>
    </pivotField>
    <pivotField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9" showAll="0"/>
    <pivotField numFmtId="1" showAll="0"/>
    <pivotField dataField="1" numFmtId="2" showAll="0"/>
  </pivotFields>
  <rowFields count="2">
    <field x="1"/>
    <field x="2"/>
  </rowFields>
  <rowItems count="51">
    <i>
      <x/>
    </i>
    <i r="1">
      <x v="3"/>
    </i>
    <i r="1">
      <x v="11"/>
    </i>
    <i r="1">
      <x v="21"/>
    </i>
    <i r="1">
      <x v="31"/>
    </i>
    <i r="1">
      <x v="37"/>
    </i>
    <i r="1">
      <x v="39"/>
    </i>
    <i>
      <x v="1"/>
    </i>
    <i r="1">
      <x v="18"/>
    </i>
    <i r="1">
      <x v="22"/>
    </i>
    <i r="1">
      <x v="38"/>
    </i>
    <i r="1">
      <x v="40"/>
    </i>
    <i r="1">
      <x v="43"/>
    </i>
    <i r="1">
      <x v="44"/>
    </i>
    <i r="1">
      <x v="45"/>
    </i>
    <i>
      <x v="2"/>
    </i>
    <i r="1">
      <x v="2"/>
    </i>
    <i r="1">
      <x v="7"/>
    </i>
    <i r="1">
      <x v="26"/>
    </i>
    <i r="1">
      <x v="28"/>
    </i>
    <i>
      <x v="3"/>
    </i>
    <i r="1">
      <x v="1"/>
    </i>
    <i r="1">
      <x v="4"/>
    </i>
    <i r="1">
      <x v="9"/>
    </i>
    <i r="1">
      <x v="12"/>
    </i>
    <i r="1">
      <x v="24"/>
    </i>
    <i r="1">
      <x v="25"/>
    </i>
    <i r="1">
      <x v="27"/>
    </i>
    <i>
      <x v="4"/>
    </i>
    <i r="1">
      <x/>
    </i>
    <i r="1">
      <x v="5"/>
    </i>
    <i r="1">
      <x v="6"/>
    </i>
    <i r="1">
      <x v="8"/>
    </i>
    <i r="1">
      <x v="10"/>
    </i>
    <i r="1">
      <x v="13"/>
    </i>
    <i r="1">
      <x v="14"/>
    </i>
    <i r="1">
      <x v="15"/>
    </i>
    <i r="1">
      <x v="16"/>
    </i>
    <i r="1">
      <x v="17"/>
    </i>
    <i r="1">
      <x v="19"/>
    </i>
    <i r="1">
      <x v="20"/>
    </i>
    <i r="1">
      <x v="23"/>
    </i>
    <i r="1">
      <x v="29"/>
    </i>
    <i r="1">
      <x v="30"/>
    </i>
    <i r="1">
      <x v="32"/>
    </i>
    <i r="1">
      <x v="33"/>
    </i>
    <i r="1">
      <x v="35"/>
    </i>
    <i r="1">
      <x v="36"/>
    </i>
    <i r="1">
      <x v="41"/>
    </i>
    <i r="1">
      <x v="42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Atividade" fld="2" subtotal="count" baseField="0" baseItem="0"/>
    <dataField name="Soma de Tméd ajustado (s)" fld="19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D590C6-45D1-4B96-9AC3-E8036964A295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15" firstHeaderRow="1" firstDataRow="1" firstDataCol="1" rowPageCount="1" colPageCount="1"/>
  <pivotFields count="21">
    <pivotField axis="axisPage" showAll="0">
      <items count="3">
        <item x="1"/>
        <item x="0"/>
        <item t="default"/>
      </items>
    </pivotField>
    <pivotField showAll="0"/>
    <pivotField axis="axisRow" showAll="0">
      <items count="6">
        <item x="0"/>
        <item x="1"/>
        <item x="2"/>
        <item x="3"/>
        <item m="1" x="4"/>
        <item t="default"/>
      </items>
    </pivotField>
    <pivotField axis="axisRow" showAll="0">
      <items count="46">
        <item x="29"/>
        <item x="21"/>
        <item x="14"/>
        <item x="2"/>
        <item x="20"/>
        <item x="38"/>
        <item x="23"/>
        <item x="12"/>
        <item x="40"/>
        <item x="19"/>
        <item x="24"/>
        <item x="4"/>
        <item x="18"/>
        <item x="30"/>
        <item x="32"/>
        <item x="26"/>
        <item x="27"/>
        <item x="42"/>
        <item x="43"/>
        <item x="36"/>
        <item x="37"/>
        <item x="1"/>
        <item x="44"/>
        <item x="22"/>
        <item x="17"/>
        <item x="15"/>
        <item x="11"/>
        <item x="16"/>
        <item x="13"/>
        <item x="34"/>
        <item x="25"/>
        <item x="0"/>
        <item x="31"/>
        <item x="35"/>
        <item x="9"/>
        <item x="7"/>
        <item x="39"/>
        <item x="41"/>
        <item x="5"/>
        <item x="6"/>
        <item x="3"/>
        <item x="10"/>
        <item x="8"/>
        <item x="28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numFmtId="9" showAll="0"/>
    <pivotField showAll="0"/>
    <pivotField numFmtId="1" showAll="0"/>
    <pivotField showAll="0"/>
  </pivotFields>
  <rowFields count="2">
    <field x="2"/>
    <field x="3"/>
  </rowFields>
  <rowItems count="12">
    <i>
      <x/>
    </i>
    <i r="1">
      <x v="11"/>
    </i>
    <i>
      <x v="3"/>
    </i>
    <i r="1">
      <x v="4"/>
    </i>
    <i r="1">
      <x v="9"/>
    </i>
    <i r="1">
      <x v="14"/>
    </i>
    <i r="1">
      <x v="15"/>
    </i>
    <i r="1">
      <x v="16"/>
    </i>
    <i r="1">
      <x v="30"/>
    </i>
    <i r="1">
      <x v="32"/>
    </i>
    <i r="1">
      <x v="33"/>
    </i>
    <i t="grand">
      <x/>
    </i>
  </rowItems>
  <colItems count="1">
    <i/>
  </colItems>
  <pageFields count="1">
    <pageField fld="0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3CCB04-2138-43D3-9A93-DE2A0BE90E85}" name="Tabela1" displayName="Tabela1" ref="A9:T55" totalsRowShown="0" headerRowDxfId="62">
  <autoFilter ref="A9:T55" xr:uid="{5B3CCB04-2138-43D3-9A93-DE2A0BE90E85}"/>
  <tableColumns count="20">
    <tableColumn id="1" xr3:uid="{D262EAA4-F3FF-48D6-BD36-BDB370D98D30}" name="Nome da operação"/>
    <tableColumn id="2" xr3:uid="{B62D082E-9749-47B6-A771-9680AE521CBB}" name="ID" dataDxfId="61"/>
    <tableColumn id="3" xr3:uid="{DC46ADE1-B785-4030-9556-51C4D41550AF}" name="Atividade"/>
    <tableColumn id="18" xr3:uid="{CC9F8555-EC61-4F02-95AF-083DBE5FED0F}" name="MOP" dataDxfId="60"/>
    <tableColumn id="4" xr3:uid="{63BDEE99-D306-4871-B36E-BDD550F9C04B}" name="Classificação" dataDxfId="59"/>
    <tableColumn id="6" xr3:uid="{A38A8825-DA54-4386-A883-CFEFF7AD257D}" name="A1 (s)" dataDxfId="58"/>
    <tableColumn id="7" xr3:uid="{B87EB80B-3347-4C49-91D2-3DF9A3E2455D}" name="A2 (s)" dataDxfId="57"/>
    <tableColumn id="8" xr3:uid="{F09B795A-430F-4973-9D0F-62B17C55A9BA}" name="A3 (s)" dataDxfId="56"/>
    <tableColumn id="9" xr3:uid="{68C7FBFF-2997-44CA-9184-0A68023F220F}" name="A4 (s)" dataDxfId="55"/>
    <tableColumn id="10" xr3:uid="{F0B2857C-C94F-4AE5-BE15-5CDCEC854CCB}" name="A5 (s)" dataDxfId="54"/>
    <tableColumn id="11" xr3:uid="{555C14B4-EFFA-4E5B-AC0E-0D1D4F2C1C18}" name="A6 (s)" dataDxfId="53"/>
    <tableColumn id="12" xr3:uid="{0B594E47-8AFE-4649-88D2-564E18AB5FA2}" name="A7 (s)" dataDxfId="52"/>
    <tableColumn id="13" xr3:uid="{8269E4EA-687A-4422-8F2E-14F6D35CF78A}" name="A8 (s)" dataDxfId="51"/>
    <tableColumn id="14" xr3:uid="{B054F23F-9699-4E8A-B0BE-724B48E55231}" name="A9 (s)" dataDxfId="50"/>
    <tableColumn id="15" xr3:uid="{DB268D6A-E8B2-44C9-AD41-CB7A3525AF8A}" name="A10 (s)" dataDxfId="49"/>
    <tableColumn id="17" xr3:uid="{242513CB-A456-4F3D-B95A-69C00049E056}" name="Tméd (s)" dataDxfId="48">
      <calculatedColumnFormula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calculatedColumnFormula>
    </tableColumn>
    <tableColumn id="16" xr3:uid="{5F8A0E97-44BA-4DCC-8307-E7564FF7ACCF}" name="Ritmo" dataDxfId="47" dataCellStyle="Porcentagem"/>
    <tableColumn id="21" xr3:uid="{A906727C-80E8-4AFC-8DD6-4DBD26223EEE}" name="Fadiga calculada" dataDxfId="46" dataCellStyle="Porcentagem"/>
    <tableColumn id="5" xr3:uid="{07975562-1D60-47EE-8D31-20397D16CAFB}" name="Frequência" dataDxfId="45"/>
    <tableColumn id="22" xr3:uid="{12F4141F-F1B8-4CDE-82C4-5550ABAF605A}" name="Tméd ajustado (s)" dataDxfId="44">
      <calculatedColumnFormula>IFERROR(Tabela1[[#This Row],[Tméd (s)]]/Tabela1[[#This Row],[Frequência]],"")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1689F9-6823-497F-B07A-B647E0A2F2C8}" name="Tabela4" displayName="Tabela4" ref="A1:G45" totalsRowShown="0" headerRowDxfId="43" dataDxfId="42" tableBorderDxfId="41">
  <autoFilter ref="A1:G45" xr:uid="{D61689F9-6823-497F-B07A-B647E0A2F2C8}"/>
  <tableColumns count="7">
    <tableColumn id="1" xr3:uid="{34EE70C8-2D2B-4C56-8736-EFD9D342DE0F}" name="Nome da operação" dataDxfId="40"/>
    <tableColumn id="2" xr3:uid="{2793F756-3E19-4D54-9970-BF154289A239}" name="Operador" dataDxfId="39"/>
    <tableColumn id="3" xr3:uid="{BDFF9AE3-F036-438C-9F06-588D19264523}" name="Movimentações" dataDxfId="38">
      <calculatedColumnFormula>IF(Tabela4[[#This Row],[Nome da operação]]&lt;&gt;"",COUNTIF(Tabela1[ID],Tabela4[[#This Row],[Operador]]),"")</calculatedColumnFormula>
    </tableColumn>
    <tableColumn id="4" xr3:uid="{D1D61D0C-8AE7-4D08-9B10-73A4C8286AF4}" name="Tméd (s)" dataDxfId="37">
      <calculatedColumnFormula>IF(Tabela4[[#This Row],[Nome da operação]]&lt;&gt;"",SUMIF(Tabela1[Nome da operação], A2, Tabela1[Tméd ajustado (s)]),"")</calculatedColumnFormula>
    </tableColumn>
    <tableColumn id="5" xr3:uid="{8BA46BD3-A5B6-41E5-858B-2AB2AB6BBA48}" name="Coef. Fadiga (s)" dataDxfId="36">
      <calculatedColumnFormula>IF(Tabela4[[#This Row],[Nome da operação]]&lt;&gt;"",IF(Tabela4[[#This Row],[Movimentações]]&lt;10,Tabela4[[#This Row],[Tméd (s)]]*0.05,IF(Tabela4[[#This Row],[Movimentações]]&gt;10,Tabela4[[#This Row],[Tméd (s)]]*0.15,"ERRO")),"")</calculatedColumnFormula>
    </tableColumn>
    <tableColumn id="17" xr3:uid="{698B67A2-55DA-4A20-B458-FCDB3CE940B5}" name="Tméd ajustado (s)" dataDxfId="35">
      <calculatedColumnFormula>IF(Tabela4[[#This Row],[Nome da operação]]&lt;&gt;"",Tabela4[[#This Row],[Tméd (s)]]+Tabela4[[#This Row],[Coef. Fadiga (s)]],"")</calculatedColumnFormula>
    </tableColumn>
    <tableColumn id="16" xr3:uid="{B35659F9-6B89-4C3A-8ED3-015A947000C9}" name="Coef. Fadiga (%)" dataDxfId="34">
      <calculatedColumnFormula>IFERROR((Tabela4[[#This Row],[Tméd (s)]]/Tabela4[[#This Row],[Tméd ajustado (s)]]-1)*-1,"")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869195-FCDF-433B-8FF4-70D8177C66E2}" name="Tabela14" displayName="Tabela14" ref="A9:U55" totalsRowShown="0" headerRowDxfId="31">
  <autoFilter ref="A9:U55" xr:uid="{5B3CCB04-2138-43D3-9A93-DE2A0BE90E85}"/>
  <tableColumns count="21">
    <tableColumn id="19" xr3:uid="{3A386E69-5EE6-48A3-9013-AFAEF6FF5F00}" name="Manter?" dataDxfId="30"/>
    <tableColumn id="1" xr3:uid="{BCB6A1EA-2419-4E70-AA9F-58436990CCE8}" name="Nome da operação" dataDxfId="29"/>
    <tableColumn id="2" xr3:uid="{BE74C4BB-F8BA-45D5-AB1E-28DF4AC98474}" name="ID" dataDxfId="28"/>
    <tableColumn id="3" xr3:uid="{55FF9B36-494C-4509-86ED-0D8B14216507}" name="Atividade" dataDxfId="27"/>
    <tableColumn id="18" xr3:uid="{90D03E3A-400B-4960-B9D5-20EE2DC8A434}" name="MOP" dataDxfId="26"/>
    <tableColumn id="4" xr3:uid="{50B4BD2E-E8B4-41E7-8D45-8CE1E3AE9941}" name="Classificação" dataDxfId="25"/>
    <tableColumn id="6" xr3:uid="{ED051748-D815-462E-918F-40D90D68FEC2}" name="A1 (s)" dataDxfId="24"/>
    <tableColumn id="7" xr3:uid="{65E9EEE9-02F3-4918-80BF-E46009770FDD}" name="A2 (s)" dataDxfId="23"/>
    <tableColumn id="8" xr3:uid="{C945C1DD-0560-4A7B-BF2D-71310D7E6FD7}" name="A3 (s)" dataDxfId="22"/>
    <tableColumn id="9" xr3:uid="{035A6E8E-2901-449C-A23B-1A2EACE0AA65}" name="A4 (s)" dataDxfId="21"/>
    <tableColumn id="10" xr3:uid="{C479356F-BD7F-487B-A9F1-99A9E1D50150}" name="A5 (s)" dataDxfId="20"/>
    <tableColumn id="11" xr3:uid="{6774ED39-EF96-47EE-9645-983E8A51F4A0}" name="A6 (s)" dataDxfId="19"/>
    <tableColumn id="12" xr3:uid="{0CE6DCCE-3B55-47AB-9304-4E770D91772B}" name="A7 (s)" dataDxfId="18"/>
    <tableColumn id="13" xr3:uid="{07D392DB-CB38-46DF-9BC0-34F64263DE4A}" name="A8 (s)" dataDxfId="17"/>
    <tableColumn id="14" xr3:uid="{0E415372-A75A-4B38-A26A-507AF753FAEC}" name="A9 (s)" dataDxfId="16"/>
    <tableColumn id="15" xr3:uid="{EC6C3AFB-7E31-40AD-86CE-3A8D25C56090}" name="A10 (s)" dataDxfId="15"/>
    <tableColumn id="17" xr3:uid="{E1EF7EC5-828C-4EAF-A318-8C802FA2F96B}" name="Tméd (s)" dataDxfId="14">
      <calculatedColumnFormula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calculatedColumnFormula>
    </tableColumn>
    <tableColumn id="16" xr3:uid="{D7BE073D-8F67-40E7-8BAE-31A1737C9BC3}" name="Ritmo" dataDxfId="13" dataCellStyle="Porcentagem"/>
    <tableColumn id="21" xr3:uid="{A16C1443-F5F4-4314-A230-24663B1F08B1}" name="Fadiga calculada" dataDxfId="12" dataCellStyle="Porcentagem"/>
    <tableColumn id="5" xr3:uid="{FAD663C6-F6A2-458F-915D-76F0C38A34F8}" name="Frequência" dataDxfId="11"/>
    <tableColumn id="22" xr3:uid="{10D31CBD-53AA-493F-AE5A-C68D9887E5CA}" name="Tméd ajustado (s)" dataDxfId="10">
      <calculatedColumnFormula>IFERROR(Tabela14[[#This Row],[Tméd (s)]]/Tabela14[[#This Row],[Frequência]],"")</calculatedColumnFormula>
    </tableColumn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B4DB4D-141F-4DAC-957C-BEF5D1898836}" name="Tabela46" displayName="Tabela46" ref="A1:G48" totalsRowShown="0" headerRowDxfId="9" dataDxfId="8" tableBorderDxfId="7">
  <autoFilter ref="A1:G48" xr:uid="{D61689F9-6823-497F-B07A-B647E0A2F2C8}"/>
  <tableColumns count="7">
    <tableColumn id="1" xr3:uid="{ED7B9C9B-7AE2-46AA-92E5-22259DB3B3BF}" name="Nome da operação" dataDxfId="6"/>
    <tableColumn id="2" xr3:uid="{7C22CD6B-6877-4179-9265-87828B6EA9C2}" name="Operador" dataDxfId="5"/>
    <tableColumn id="3" xr3:uid="{EEE5E80A-D4DE-4DC0-BFB4-0172A2EBF69E}" name="Movimentações" dataDxfId="4">
      <calculatedColumnFormula>IF(Tabela46[[#This Row],[Nome da operação]]&lt;&gt;"",COUNTIF(Tabela1[ID],Tabela46[[#This Row],[Operador]]),"")</calculatedColumnFormula>
    </tableColumn>
    <tableColumn id="4" xr3:uid="{93ABA12F-F1A2-4F55-8E31-062217542F9C}" name="Tméd (s)" dataDxfId="3">
      <calculatedColumnFormula>IF(Tabela46[[#This Row],[Nome da operação]]&lt;&gt;"",SUMIF(Tabela1[Nome da operação], A2, Tabela1[Tméd ajustado (s)]),"")</calculatedColumnFormula>
    </tableColumn>
    <tableColumn id="5" xr3:uid="{931591BD-72C5-4F64-B55D-12E35CC7576F}" name="Coef. Fadiga (s)" dataDxfId="2">
      <calculatedColumnFormula>IF(Tabela46[[#This Row],[Nome da operação]]&lt;&gt;"",IF(Tabela46[[#This Row],[Movimentações]]&lt;10,Tabela46[[#This Row],[Tméd (s)]]*0.1,IF(Tabela46[[#This Row],[Movimentações]]&gt;10,Tabela46[[#This Row],[Tméd (s)]]*0.35,"ERRO")),"")</calculatedColumnFormula>
    </tableColumn>
    <tableColumn id="17" xr3:uid="{92FBAD82-5D5E-4B17-BDCC-229E6BBD2F3B}" name="Tméd ajustado (s)" dataDxfId="1">
      <calculatedColumnFormula>IF(Tabela46[[#This Row],[Nome da operação]]&lt;&gt;"",Tabela46[[#This Row],[Tméd (s)]]+Tabela46[[#This Row],[Coef. Fadiga (s)]],"")</calculatedColumnFormula>
    </tableColumn>
    <tableColumn id="16" xr3:uid="{82663CE3-5BCF-4E16-A07A-A9688DB3A2AC}" name="Coef. Fadiga (%)" dataDxfId="0">
      <calculatedColumnFormula>IFERROR((Tabela46[[#This Row],[Tméd (s)]]/Tabela46[[#This Row],[Tméd ajustado (s)]]-1)*-1,"")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F323B-88DA-4B58-8213-08336D689CE7}">
  <sheetPr codeName="Planilha1"/>
  <dimension ref="A1:AL55"/>
  <sheetViews>
    <sheetView showGridLines="0" zoomScaleNormal="100" workbookViewId="0">
      <pane xSplit="1" topLeftCell="U1" activePane="topRight" state="frozen"/>
      <selection pane="topRight" activeCell="A3" sqref="A3:B3"/>
    </sheetView>
  </sheetViews>
  <sheetFormatPr defaultRowHeight="15" x14ac:dyDescent="0.25"/>
  <cols>
    <col min="1" max="1" width="51.42578125" bestFit="1" customWidth="1"/>
    <col min="2" max="2" width="19.85546875" bestFit="1" customWidth="1"/>
    <col min="3" max="3" width="81.7109375" bestFit="1" customWidth="1"/>
    <col min="4" max="4" width="16.85546875" bestFit="1" customWidth="1"/>
    <col min="5" max="5" width="17.140625" bestFit="1" customWidth="1"/>
    <col min="6" max="6" width="14.28515625" bestFit="1" customWidth="1"/>
    <col min="7" max="7" width="24.5703125" bestFit="1" customWidth="1"/>
    <col min="8" max="9" width="11.42578125" bestFit="1" customWidth="1"/>
    <col min="10" max="10" width="27.5703125" bestFit="1" customWidth="1"/>
    <col min="11" max="12" width="11.42578125" bestFit="1" customWidth="1"/>
    <col min="13" max="13" width="10.5703125" bestFit="1" customWidth="1"/>
    <col min="14" max="14" width="11.5703125" bestFit="1" customWidth="1"/>
    <col min="15" max="15" width="13.28515625" bestFit="1" customWidth="1"/>
    <col min="16" max="16" width="13.42578125" bestFit="1" customWidth="1"/>
    <col min="17" max="17" width="11.5703125" bestFit="1" customWidth="1"/>
    <col min="18" max="18" width="20" bestFit="1" customWidth="1"/>
    <col min="19" max="19" width="15.42578125" bestFit="1" customWidth="1"/>
    <col min="20" max="20" width="21.42578125" bestFit="1" customWidth="1"/>
    <col min="21" max="21" width="13.140625" bestFit="1" customWidth="1"/>
    <col min="22" max="22" width="12.28515625" bestFit="1" customWidth="1"/>
    <col min="25" max="25" width="12" bestFit="1" customWidth="1"/>
    <col min="28" max="28" width="11.28515625" bestFit="1" customWidth="1"/>
    <col min="29" max="29" width="12.7109375" bestFit="1" customWidth="1"/>
    <col min="30" max="30" width="11.28515625" bestFit="1" customWidth="1"/>
    <col min="31" max="31" width="18.7109375" bestFit="1" customWidth="1"/>
    <col min="34" max="34" width="10.42578125" bestFit="1" customWidth="1"/>
    <col min="35" max="35" width="11.5703125" bestFit="1" customWidth="1"/>
    <col min="36" max="36" width="16.5703125" bestFit="1" customWidth="1"/>
    <col min="37" max="37" width="11.140625" bestFit="1" customWidth="1"/>
    <col min="38" max="38" width="12" bestFit="1" customWidth="1"/>
  </cols>
  <sheetData>
    <row r="1" spans="1:38" ht="15.75" x14ac:dyDescent="0.25">
      <c r="A1" s="57" t="s">
        <v>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9"/>
      <c r="Y1" s="23" t="s">
        <v>53</v>
      </c>
      <c r="Z1" s="23" t="s">
        <v>54</v>
      </c>
      <c r="AA1" s="23" t="s">
        <v>55</v>
      </c>
      <c r="AB1" s="23" t="s">
        <v>52</v>
      </c>
      <c r="AC1" s="23" t="s">
        <v>138</v>
      </c>
      <c r="AD1" s="23" t="s">
        <v>56</v>
      </c>
      <c r="AE1" s="23" t="s">
        <v>55</v>
      </c>
      <c r="AF1" t="s">
        <v>35</v>
      </c>
      <c r="AH1" t="s">
        <v>75</v>
      </c>
      <c r="AJ1" s="7" t="s">
        <v>55</v>
      </c>
      <c r="AK1" s="8">
        <f>AE2</f>
        <v>6.4732499999999993</v>
      </c>
      <c r="AL1" s="6" t="s">
        <v>23</v>
      </c>
    </row>
    <row r="2" spans="1:38" ht="15.75" x14ac:dyDescent="0.25">
      <c r="A2" s="60" t="s">
        <v>2</v>
      </c>
      <c r="B2" s="61"/>
      <c r="C2" s="62" t="s">
        <v>50</v>
      </c>
      <c r="D2" s="62"/>
      <c r="E2" s="1" t="s">
        <v>4</v>
      </c>
      <c r="F2" s="62" t="s">
        <v>61</v>
      </c>
      <c r="G2" s="62"/>
      <c r="H2" s="63" t="s">
        <v>5</v>
      </c>
      <c r="I2" s="63"/>
      <c r="J2" s="64">
        <v>45719</v>
      </c>
      <c r="K2" s="64"/>
      <c r="L2" s="65"/>
      <c r="M2" s="2"/>
      <c r="N2" s="2"/>
      <c r="O2" s="2"/>
      <c r="P2" s="2"/>
      <c r="Y2" t="str" cm="1">
        <f t="array" ref="Y2:Y6">_xlfn.UNIQUE(Tabela1[ID])</f>
        <v>OP1</v>
      </c>
      <c r="Z2" s="21">
        <f>SUMIF(Tabela4[Operador],'Crono-análise de atividades'!Y2,Tabela4[Tméd ajustado (s)])</f>
        <v>6.4732499999999993</v>
      </c>
      <c r="AA2" s="21">
        <f>MAX(_xlfn.ANCHORARRAY($AE$2))</f>
        <v>6.4732499999999993</v>
      </c>
      <c r="AB2" s="20">
        <f>$E$4</f>
        <v>8.2173913043478244</v>
      </c>
      <c r="AC2" s="20">
        <f>K6</f>
        <v>6.4095652173913038</v>
      </c>
      <c r="AD2" s="22">
        <f>Z2/AA2</f>
        <v>1</v>
      </c>
      <c r="AE2" s="20" cm="1">
        <f t="array" ref="AE2">_xlfn.XLOOKUP(SUMPRODUCT(SUMIF(Tabela1[MOP],AH2:AH3,Tabela1[Tméd ajustado (s)])),Tabela4[Tméd (s)],Tabela4[Tméd ajustado (s)],"",0,1)</f>
        <v>6.4732499999999993</v>
      </c>
      <c r="AH2" t="s">
        <v>71</v>
      </c>
      <c r="AJ2" s="7" t="s">
        <v>60</v>
      </c>
      <c r="AK2" s="9">
        <f>SUM(Tabela1[Tméd ajustado (s)])</f>
        <v>28.99099065711254</v>
      </c>
      <c r="AL2" s="6" t="s">
        <v>23</v>
      </c>
    </row>
    <row r="3" spans="1:38" ht="16.5" thickBot="1" x14ac:dyDescent="0.3">
      <c r="A3" s="52" t="s">
        <v>3</v>
      </c>
      <c r="B3" s="53"/>
      <c r="C3" s="54" t="s">
        <v>51</v>
      </c>
      <c r="D3" s="54"/>
      <c r="E3" s="3" t="s">
        <v>6</v>
      </c>
      <c r="F3" s="54">
        <v>335272</v>
      </c>
      <c r="G3" s="54"/>
      <c r="H3" s="55" t="s">
        <v>7</v>
      </c>
      <c r="I3" s="55"/>
      <c r="J3" s="54" t="s">
        <v>1</v>
      </c>
      <c r="K3" s="54"/>
      <c r="L3" s="56"/>
      <c r="M3" s="2"/>
      <c r="N3" s="2"/>
      <c r="O3" s="2"/>
      <c r="P3" s="2"/>
      <c r="Y3" t="str">
        <v>OP2</v>
      </c>
      <c r="Z3" s="21">
        <f>SUMIF(Tabela4[Operador],'Crono-análise de atividades'!Y3,Tabela4[Tméd ajustado (s)])</f>
        <v>6.488999999999999</v>
      </c>
      <c r="AA3" s="21">
        <f t="shared" ref="AA3:AA7" si="0">MAX(_xlfn.ANCHORARRAY($AE$2))</f>
        <v>6.4732499999999993</v>
      </c>
      <c r="AB3" s="20">
        <f t="shared" ref="AB3:AB7" si="1">$E$4</f>
        <v>8.2173913043478244</v>
      </c>
      <c r="AC3" s="20">
        <f>AC2</f>
        <v>6.4095652173913038</v>
      </c>
      <c r="AD3" s="22">
        <f t="shared" ref="AD3:AD7" si="2">Z3/AA3</f>
        <v>1.0024330900243308</v>
      </c>
      <c r="AE3" s="20">
        <f>AE2</f>
        <v>6.4732499999999993</v>
      </c>
      <c r="AH3" t="s">
        <v>72</v>
      </c>
      <c r="AJ3" s="7" t="s">
        <v>19</v>
      </c>
      <c r="AK3" s="8">
        <f>AK2/AK1</f>
        <v>4.4785835024311655</v>
      </c>
      <c r="AL3" s="6" t="s">
        <v>20</v>
      </c>
    </row>
    <row r="4" spans="1:38" x14ac:dyDescent="0.25">
      <c r="A4" s="4" t="s">
        <v>8</v>
      </c>
      <c r="B4" s="5">
        <f>60*21</f>
        <v>1260</v>
      </c>
      <c r="C4" s="6" t="s">
        <v>9</v>
      </c>
      <c r="D4" s="7" t="s">
        <v>18</v>
      </c>
      <c r="E4" s="8">
        <f>B6/B7*60</f>
        <v>8.2173913043478244</v>
      </c>
      <c r="F4" s="6" t="s">
        <v>23</v>
      </c>
      <c r="G4" s="7" t="s">
        <v>83</v>
      </c>
      <c r="H4" s="10">
        <f>3600/AE2</f>
        <v>556.13486270420583</v>
      </c>
      <c r="I4" s="6" t="s">
        <v>84</v>
      </c>
      <c r="J4" s="7" t="s">
        <v>132</v>
      </c>
      <c r="K4" s="10">
        <f>B8/(K8*21)</f>
        <v>561.66056166056171</v>
      </c>
      <c r="L4" s="6" t="s">
        <v>84</v>
      </c>
      <c r="M4" s="2"/>
      <c r="N4" s="2"/>
      <c r="O4" s="2"/>
      <c r="P4" s="2"/>
      <c r="Y4" t="str">
        <v>OP3</v>
      </c>
      <c r="Z4" s="21">
        <f>SUMIF(Tabela4[Operador],'Crono-análise de atividades'!Y4,Tabela4[Tméd ajustado (s)])</f>
        <v>3.7724750000000009</v>
      </c>
      <c r="AA4" s="21">
        <f t="shared" si="0"/>
        <v>6.4732499999999993</v>
      </c>
      <c r="AB4" s="20">
        <f t="shared" si="1"/>
        <v>8.2173913043478244</v>
      </c>
      <c r="AC4" s="20">
        <f t="shared" ref="AC4:AC7" si="3">AC3</f>
        <v>6.4095652173913038</v>
      </c>
      <c r="AD4" s="22">
        <f t="shared" si="2"/>
        <v>0.5827791294944582</v>
      </c>
      <c r="AE4" s="20">
        <f t="shared" ref="AE4:AE7" si="4">AE3</f>
        <v>6.4732499999999993</v>
      </c>
      <c r="AJ4" s="7" t="s">
        <v>21</v>
      </c>
      <c r="AK4" s="10">
        <f>ROUNDUP(AK3,0)</f>
        <v>5</v>
      </c>
      <c r="AL4" s="6" t="s">
        <v>20</v>
      </c>
    </row>
    <row r="5" spans="1:38" x14ac:dyDescent="0.25">
      <c r="A5" s="4" t="s">
        <v>10</v>
      </c>
      <c r="B5" s="33">
        <v>25</v>
      </c>
      <c r="C5" s="6" t="s">
        <v>11</v>
      </c>
      <c r="D5" s="7" t="s">
        <v>60</v>
      </c>
      <c r="E5" s="9">
        <f>SUM(Tabela1[Tméd ajustado (s)])</f>
        <v>28.99099065711254</v>
      </c>
      <c r="F5" s="6" t="s">
        <v>23</v>
      </c>
      <c r="G5" s="7" t="s">
        <v>83</v>
      </c>
      <c r="H5" s="5">
        <f>H4*21</f>
        <v>11678.832116788322</v>
      </c>
      <c r="I5" s="6" t="s">
        <v>85</v>
      </c>
      <c r="J5" s="7" t="s">
        <v>133</v>
      </c>
      <c r="K5" s="5">
        <f>K4*21</f>
        <v>11794.871794871797</v>
      </c>
      <c r="L5" s="6" t="s">
        <v>85</v>
      </c>
      <c r="M5" s="2"/>
      <c r="N5" s="2"/>
      <c r="O5" s="2"/>
      <c r="P5" s="2"/>
      <c r="Y5" t="str">
        <v>OP4</v>
      </c>
      <c r="Z5" s="21">
        <f>SUMIF(Tabela4[Operador],'Crono-análise de atividades'!Y5,Tabela4[Tméd ajustado (s)])</f>
        <v>7.8366749999999996</v>
      </c>
      <c r="AA5" s="21">
        <f t="shared" si="0"/>
        <v>6.4732499999999993</v>
      </c>
      <c r="AB5" s="20">
        <f t="shared" si="1"/>
        <v>8.2173913043478244</v>
      </c>
      <c r="AC5" s="20">
        <f t="shared" si="3"/>
        <v>6.4095652173913038</v>
      </c>
      <c r="AD5" s="22">
        <f t="shared" si="2"/>
        <v>1.2106244931062451</v>
      </c>
      <c r="AE5" s="20">
        <f t="shared" si="4"/>
        <v>6.4732499999999993</v>
      </c>
    </row>
    <row r="6" spans="1:38" x14ac:dyDescent="0.25">
      <c r="A6" s="4" t="s">
        <v>12</v>
      </c>
      <c r="B6" s="5">
        <f>B4*B5</f>
        <v>31500</v>
      </c>
      <c r="C6" s="6" t="s">
        <v>13</v>
      </c>
      <c r="D6" s="7" t="s">
        <v>19</v>
      </c>
      <c r="E6" s="8">
        <f>E5/E4</f>
        <v>3.528004154040151</v>
      </c>
      <c r="F6" s="6" t="s">
        <v>20</v>
      </c>
      <c r="G6" s="7" t="s">
        <v>127</v>
      </c>
      <c r="H6" s="43">
        <f>AA2</f>
        <v>6.4732499999999993</v>
      </c>
      <c r="I6" s="6" t="s">
        <v>23</v>
      </c>
      <c r="J6" s="7" t="s">
        <v>137</v>
      </c>
      <c r="K6" s="43">
        <f>3600/K4</f>
        <v>6.4095652173913038</v>
      </c>
      <c r="L6" s="6" t="s">
        <v>23</v>
      </c>
      <c r="M6" s="2"/>
      <c r="N6" s="2"/>
      <c r="O6" s="2"/>
      <c r="P6" s="2"/>
      <c r="Y6" t="str">
        <v>OP5</v>
      </c>
      <c r="Z6" s="21">
        <f>SUMIF(Tabela4[Operador],'Crono-análise de atividades'!Y6,Tabela4[Tméd ajustado (s)])</f>
        <v>6.4281059223460888</v>
      </c>
      <c r="AA6" s="21">
        <f t="shared" si="0"/>
        <v>6.4732499999999993</v>
      </c>
      <c r="AB6" s="20">
        <f t="shared" si="1"/>
        <v>8.2173913043478244</v>
      </c>
      <c r="AC6" s="20">
        <f t="shared" si="3"/>
        <v>6.4095652173913038</v>
      </c>
      <c r="AD6" s="22">
        <f t="shared" si="2"/>
        <v>0.99302605682556511</v>
      </c>
      <c r="AE6" s="20">
        <f t="shared" si="4"/>
        <v>6.4732499999999993</v>
      </c>
    </row>
    <row r="7" spans="1:38" x14ac:dyDescent="0.25">
      <c r="A7" s="4" t="s">
        <v>14</v>
      </c>
      <c r="B7" s="33">
        <f>9200*25</f>
        <v>230000</v>
      </c>
      <c r="C7" s="6" t="s">
        <v>15</v>
      </c>
      <c r="D7" s="7" t="s">
        <v>21</v>
      </c>
      <c r="E7" s="10">
        <f>ROUNDUP(E6,0)</f>
        <v>4</v>
      </c>
      <c r="F7" s="6" t="s">
        <v>20</v>
      </c>
      <c r="G7" s="7" t="s">
        <v>128</v>
      </c>
      <c r="H7" s="44">
        <f>B8/H4/24</f>
        <v>0.68928124999999996</v>
      </c>
      <c r="I7" s="6" t="s">
        <v>129</v>
      </c>
      <c r="J7" s="7" t="s">
        <v>128</v>
      </c>
      <c r="K7" s="44">
        <f>K5/K4/24</f>
        <v>0.875</v>
      </c>
      <c r="L7" s="6" t="s">
        <v>129</v>
      </c>
      <c r="M7" s="2"/>
      <c r="N7" s="2"/>
      <c r="O7" s="2"/>
      <c r="P7" s="2"/>
      <c r="Z7" s="21">
        <f>SUMIF(Tabela4[Operador],'Crono-análise de atividades'!Y7,Tabela4[Tméd ajustado (s)])</f>
        <v>0</v>
      </c>
      <c r="AA7" s="21">
        <f t="shared" si="0"/>
        <v>6.4732499999999993</v>
      </c>
      <c r="AB7" s="20">
        <f t="shared" si="1"/>
        <v>8.2173913043478244</v>
      </c>
      <c r="AC7" s="20">
        <f t="shared" si="3"/>
        <v>6.4095652173913038</v>
      </c>
      <c r="AD7" s="22">
        <f t="shared" si="2"/>
        <v>0</v>
      </c>
      <c r="AE7" s="20">
        <f t="shared" si="4"/>
        <v>6.4732499999999993</v>
      </c>
    </row>
    <row r="8" spans="1:38" x14ac:dyDescent="0.25">
      <c r="A8" s="11" t="s">
        <v>16</v>
      </c>
      <c r="B8" s="12">
        <v>9200</v>
      </c>
      <c r="C8" s="13" t="s">
        <v>17</v>
      </c>
      <c r="D8" s="14" t="s">
        <v>22</v>
      </c>
      <c r="E8" s="15">
        <f>E6/E7</f>
        <v>0.88200103851003775</v>
      </c>
      <c r="F8" s="13" t="s">
        <v>130</v>
      </c>
      <c r="G8" s="7" t="s">
        <v>131</v>
      </c>
      <c r="H8" s="46">
        <f>IF(H7*24&gt;14, (H7*24/21), "")</f>
        <v>0.78774999999999995</v>
      </c>
      <c r="I8" s="6" t="s">
        <v>130</v>
      </c>
      <c r="J8" s="7" t="s">
        <v>131</v>
      </c>
      <c r="K8" s="46">
        <v>0.78</v>
      </c>
      <c r="L8" s="6" t="s">
        <v>130</v>
      </c>
      <c r="M8" s="2"/>
      <c r="N8" s="2"/>
      <c r="O8" s="2"/>
      <c r="P8" s="2"/>
      <c r="W8" s="20"/>
    </row>
    <row r="9" spans="1:38" x14ac:dyDescent="0.25">
      <c r="A9" s="17" t="s">
        <v>24</v>
      </c>
      <c r="B9" s="17" t="s">
        <v>70</v>
      </c>
      <c r="C9" s="17" t="s">
        <v>26</v>
      </c>
      <c r="D9" s="17" t="s">
        <v>67</v>
      </c>
      <c r="E9" s="17" t="s">
        <v>27</v>
      </c>
      <c r="F9" s="17" t="s">
        <v>40</v>
      </c>
      <c r="G9" s="17" t="s">
        <v>41</v>
      </c>
      <c r="H9" s="17" t="s">
        <v>42</v>
      </c>
      <c r="I9" s="17" t="s">
        <v>43</v>
      </c>
      <c r="J9" s="17" t="s">
        <v>44</v>
      </c>
      <c r="K9" s="17" t="s">
        <v>45</v>
      </c>
      <c r="L9" s="17" t="s">
        <v>46</v>
      </c>
      <c r="M9" s="17" t="s">
        <v>47</v>
      </c>
      <c r="N9" s="17" t="s">
        <v>48</v>
      </c>
      <c r="O9" s="17" t="s">
        <v>49</v>
      </c>
      <c r="P9" s="17" t="s">
        <v>39</v>
      </c>
      <c r="Q9" s="17" t="s">
        <v>68</v>
      </c>
      <c r="R9" s="17" t="s">
        <v>76</v>
      </c>
      <c r="S9" s="17" t="s">
        <v>69</v>
      </c>
      <c r="T9" s="17" t="s">
        <v>66</v>
      </c>
      <c r="AE9" t="s">
        <v>63</v>
      </c>
    </row>
    <row r="10" spans="1:38" x14ac:dyDescent="0.25">
      <c r="A10" t="s">
        <v>34</v>
      </c>
      <c r="B10" s="16" t="s">
        <v>28</v>
      </c>
      <c r="C10" t="s">
        <v>77</v>
      </c>
      <c r="D10" s="25" t="s">
        <v>72</v>
      </c>
      <c r="E10" s="26" t="s">
        <v>37</v>
      </c>
      <c r="F10" s="18">
        <v>1.93</v>
      </c>
      <c r="G10" s="19">
        <v>1.57</v>
      </c>
      <c r="H10" s="19">
        <v>1.63</v>
      </c>
      <c r="I10" s="19">
        <v>1.67</v>
      </c>
      <c r="J10" s="19"/>
      <c r="K10" s="19"/>
      <c r="L10" s="19"/>
      <c r="M10" s="19"/>
      <c r="N10" s="19"/>
      <c r="O10" s="19"/>
      <c r="P10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1.65</v>
      </c>
      <c r="Q10" s="38">
        <v>1</v>
      </c>
      <c r="R10" s="37"/>
      <c r="S10" s="40">
        <v>1</v>
      </c>
      <c r="T10" s="19">
        <f>IFERROR(Tabela1[[#This Row],[Tméd (s)]]/Tabela1[[#This Row],[Frequência]],"")</f>
        <v>1.65</v>
      </c>
    </row>
    <row r="11" spans="1:38" x14ac:dyDescent="0.25">
      <c r="A11" t="s">
        <v>34</v>
      </c>
      <c r="B11" s="16" t="s">
        <v>28</v>
      </c>
      <c r="C11" t="s">
        <v>78</v>
      </c>
      <c r="D11" s="25" t="s">
        <v>72</v>
      </c>
      <c r="E11" s="26" t="s">
        <v>38</v>
      </c>
      <c r="F11" s="19">
        <v>0.67</v>
      </c>
      <c r="G11" s="19">
        <v>1.23</v>
      </c>
      <c r="H11" s="19">
        <v>0.6</v>
      </c>
      <c r="I11" s="19">
        <v>0.9</v>
      </c>
      <c r="J11" s="19"/>
      <c r="K11" s="19"/>
      <c r="L11" s="19"/>
      <c r="M11" s="19"/>
      <c r="N11" s="19"/>
      <c r="O11" s="19"/>
      <c r="P11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0.78499999999999992</v>
      </c>
      <c r="Q11" s="38">
        <v>1</v>
      </c>
      <c r="R11" s="37"/>
      <c r="S11" s="40">
        <v>1</v>
      </c>
      <c r="T11" s="19">
        <f>IFERROR(Tabela1[[#This Row],[Tméd (s)]]/Tabela1[[#This Row],[Frequência]],"")</f>
        <v>0.78499999999999992</v>
      </c>
    </row>
    <row r="12" spans="1:38" x14ac:dyDescent="0.25">
      <c r="A12" t="s">
        <v>34</v>
      </c>
      <c r="B12" s="16" t="s">
        <v>28</v>
      </c>
      <c r="C12" t="s">
        <v>79</v>
      </c>
      <c r="D12" s="25" t="s">
        <v>72</v>
      </c>
      <c r="E12" s="26" t="s">
        <v>36</v>
      </c>
      <c r="F12" s="19">
        <v>0.5</v>
      </c>
      <c r="G12" s="19">
        <v>0.6</v>
      </c>
      <c r="H12" s="19">
        <v>0.43</v>
      </c>
      <c r="I12" s="19">
        <v>0.23</v>
      </c>
      <c r="J12" s="19"/>
      <c r="K12" s="19"/>
      <c r="L12" s="19"/>
      <c r="M12" s="19"/>
      <c r="N12" s="19"/>
      <c r="O12" s="19"/>
      <c r="P12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0.46500000000000008</v>
      </c>
      <c r="Q12" s="38">
        <v>1</v>
      </c>
      <c r="R12" s="37"/>
      <c r="S12" s="40">
        <v>1</v>
      </c>
      <c r="T12" s="19">
        <f>IFERROR(Tabela1[[#This Row],[Tméd (s)]]/Tabela1[[#This Row],[Frequência]],"")</f>
        <v>0.46500000000000008</v>
      </c>
    </row>
    <row r="13" spans="1:38" x14ac:dyDescent="0.25">
      <c r="A13" t="s">
        <v>34</v>
      </c>
      <c r="B13" s="16" t="s">
        <v>28</v>
      </c>
      <c r="C13" t="s">
        <v>80</v>
      </c>
      <c r="D13" s="25" t="s">
        <v>72</v>
      </c>
      <c r="E13" s="26" t="s">
        <v>37</v>
      </c>
      <c r="F13" s="19">
        <v>1.57</v>
      </c>
      <c r="G13" s="19">
        <v>0.93</v>
      </c>
      <c r="H13" s="19">
        <v>0.9</v>
      </c>
      <c r="I13" s="19">
        <v>0.8</v>
      </c>
      <c r="J13" s="19"/>
      <c r="K13" s="19"/>
      <c r="L13" s="19"/>
      <c r="M13" s="19"/>
      <c r="N13" s="19"/>
      <c r="O13" s="19"/>
      <c r="P13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0.91499999999999992</v>
      </c>
      <c r="Q13" s="38">
        <v>1</v>
      </c>
      <c r="R13" s="37"/>
      <c r="S13" s="40">
        <v>1</v>
      </c>
      <c r="T13" s="19">
        <f>IFERROR(Tabela1[[#This Row],[Tméd (s)]]/Tabela1[[#This Row],[Frequência]],"")</f>
        <v>0.91499999999999992</v>
      </c>
    </row>
    <row r="14" spans="1:38" x14ac:dyDescent="0.25">
      <c r="A14" t="s">
        <v>34</v>
      </c>
      <c r="B14" s="16" t="s">
        <v>28</v>
      </c>
      <c r="C14" t="s">
        <v>81</v>
      </c>
      <c r="D14" s="25" t="s">
        <v>72</v>
      </c>
      <c r="E14" s="26" t="s">
        <v>38</v>
      </c>
      <c r="F14" s="19"/>
      <c r="G14" s="19"/>
      <c r="H14" s="19">
        <v>0.5</v>
      </c>
      <c r="I14" s="19"/>
      <c r="J14" s="19"/>
      <c r="K14" s="19"/>
      <c r="L14" s="19"/>
      <c r="M14" s="19"/>
      <c r="N14" s="19"/>
      <c r="O14" s="19"/>
      <c r="P14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0.5</v>
      </c>
      <c r="Q14" s="38">
        <v>1</v>
      </c>
      <c r="R14" s="37"/>
      <c r="S14" s="40">
        <v>1</v>
      </c>
      <c r="T14" s="19">
        <f>IFERROR(Tabela1[[#This Row],[Tméd (s)]]/Tabela1[[#This Row],[Frequência]],"")</f>
        <v>0.5</v>
      </c>
    </row>
    <row r="15" spans="1:38" x14ac:dyDescent="0.25">
      <c r="A15" t="s">
        <v>34</v>
      </c>
      <c r="B15" s="16" t="s">
        <v>28</v>
      </c>
      <c r="C15" t="s">
        <v>82</v>
      </c>
      <c r="D15" s="25" t="s">
        <v>72</v>
      </c>
      <c r="E15" s="26" t="s">
        <v>37</v>
      </c>
      <c r="F15" s="19">
        <v>2.33</v>
      </c>
      <c r="G15" s="19">
        <v>1.87</v>
      </c>
      <c r="H15" s="19">
        <v>1.83</v>
      </c>
      <c r="I15" s="19">
        <v>0</v>
      </c>
      <c r="J15" s="19"/>
      <c r="K15" s="19"/>
      <c r="L15" s="19"/>
      <c r="M15" s="19"/>
      <c r="N15" s="19"/>
      <c r="O15" s="19"/>
      <c r="P15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1.85</v>
      </c>
      <c r="Q15" s="38">
        <v>1</v>
      </c>
      <c r="R15" s="37"/>
      <c r="S15" s="40">
        <v>1</v>
      </c>
      <c r="T15" s="19">
        <f>IFERROR(Tabela1[[#This Row],[Tméd (s)]]/Tabela1[[#This Row],[Frequência]],"")</f>
        <v>1.85</v>
      </c>
    </row>
    <row r="16" spans="1:38" x14ac:dyDescent="0.25">
      <c r="A16" t="s">
        <v>86</v>
      </c>
      <c r="B16" s="16" t="s">
        <v>29</v>
      </c>
      <c r="C16" t="s">
        <v>87</v>
      </c>
      <c r="D16" s="25" t="s">
        <v>74</v>
      </c>
      <c r="E16" s="27" t="s">
        <v>37</v>
      </c>
      <c r="F16" s="19">
        <v>1.67</v>
      </c>
      <c r="G16" s="19">
        <v>1.5</v>
      </c>
      <c r="H16" s="19">
        <v>1.6</v>
      </c>
      <c r="I16" s="19"/>
      <c r="J16" s="19"/>
      <c r="K16" s="19"/>
      <c r="L16" s="19"/>
      <c r="M16" s="19"/>
      <c r="N16" s="19"/>
      <c r="O16" s="19"/>
      <c r="P16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1.5999999999999996</v>
      </c>
      <c r="Q16" s="38">
        <v>1</v>
      </c>
      <c r="R16" s="37"/>
      <c r="S16" s="40">
        <v>1</v>
      </c>
      <c r="T16" s="19">
        <f>IFERROR(Tabela1[[#This Row],[Tméd (s)]]/Tabela1[[#This Row],[Frequência]],"")</f>
        <v>1.5999999999999996</v>
      </c>
      <c r="AI16" s="23" t="s">
        <v>59</v>
      </c>
      <c r="AJ16" s="23" t="s">
        <v>57</v>
      </c>
      <c r="AK16" s="24" t="s">
        <v>62</v>
      </c>
      <c r="AL16" s="23" t="s">
        <v>58</v>
      </c>
    </row>
    <row r="17" spans="1:38" x14ac:dyDescent="0.25">
      <c r="A17" t="s">
        <v>86</v>
      </c>
      <c r="B17" s="16" t="s">
        <v>29</v>
      </c>
      <c r="C17" t="s">
        <v>145</v>
      </c>
      <c r="D17" s="25" t="s">
        <v>74</v>
      </c>
      <c r="E17" s="27" t="s">
        <v>37</v>
      </c>
      <c r="F17" s="19">
        <v>1.07</v>
      </c>
      <c r="G17" s="19">
        <v>1.27</v>
      </c>
      <c r="H17" s="19">
        <v>0.97</v>
      </c>
      <c r="I17" s="19"/>
      <c r="J17" s="19"/>
      <c r="K17" s="19"/>
      <c r="L17" s="19"/>
      <c r="M17" s="19"/>
      <c r="N17" s="19"/>
      <c r="O17" s="19"/>
      <c r="P17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1.0699999999999996</v>
      </c>
      <c r="Q17" s="38">
        <v>1</v>
      </c>
      <c r="R17" s="37"/>
      <c r="S17" s="40">
        <v>1</v>
      </c>
      <c r="T17" s="19">
        <f>IFERROR(Tabela1[[#This Row],[Tméd (s)]]/Tabela1[[#This Row],[Frequência]],"")</f>
        <v>1.0699999999999996</v>
      </c>
      <c r="AI17" s="23"/>
      <c r="AJ17" s="23"/>
      <c r="AK17" s="23"/>
      <c r="AL17" s="23"/>
    </row>
    <row r="18" spans="1:38" x14ac:dyDescent="0.25">
      <c r="A18" t="s">
        <v>86</v>
      </c>
      <c r="B18" s="16" t="s">
        <v>29</v>
      </c>
      <c r="C18" t="s">
        <v>146</v>
      </c>
      <c r="D18" s="25" t="s">
        <v>74</v>
      </c>
      <c r="E18" s="27" t="s">
        <v>37</v>
      </c>
      <c r="F18" s="19">
        <v>0.73</v>
      </c>
      <c r="G18" s="19">
        <v>0.67</v>
      </c>
      <c r="H18" s="19">
        <v>0.56999999999999995</v>
      </c>
      <c r="I18" s="19"/>
      <c r="J18" s="19"/>
      <c r="K18" s="19"/>
      <c r="L18" s="19"/>
      <c r="M18" s="19"/>
      <c r="N18" s="19"/>
      <c r="O18" s="19"/>
      <c r="P18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0.66999999999999982</v>
      </c>
      <c r="Q18" s="38">
        <v>1</v>
      </c>
      <c r="R18" s="37"/>
      <c r="S18" s="40">
        <v>1</v>
      </c>
      <c r="T18" s="19">
        <f>IFERROR(Tabela1[[#This Row],[Tméd (s)]]/Tabela1[[#This Row],[Frequência]],"")</f>
        <v>0.66999999999999982</v>
      </c>
      <c r="AI18" s="23"/>
      <c r="AJ18" s="23"/>
      <c r="AK18" s="23"/>
      <c r="AL18" s="23"/>
    </row>
    <row r="19" spans="1:38" x14ac:dyDescent="0.25">
      <c r="A19" t="s">
        <v>86</v>
      </c>
      <c r="B19" s="16" t="s">
        <v>29</v>
      </c>
      <c r="C19" t="s">
        <v>147</v>
      </c>
      <c r="D19" s="25" t="s">
        <v>74</v>
      </c>
      <c r="E19" s="27" t="s">
        <v>37</v>
      </c>
      <c r="F19" s="19">
        <v>0.67</v>
      </c>
      <c r="G19" s="19">
        <v>0.67</v>
      </c>
      <c r="H19" s="19">
        <v>0.67</v>
      </c>
      <c r="I19" s="19"/>
      <c r="J19" s="19"/>
      <c r="K19" s="19"/>
      <c r="L19" s="19"/>
      <c r="M19" s="19"/>
      <c r="N19" s="19"/>
      <c r="O19" s="19"/>
      <c r="P19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0.67000000000000026</v>
      </c>
      <c r="Q19" s="38">
        <v>1</v>
      </c>
      <c r="R19" s="37"/>
      <c r="S19" s="40">
        <v>1</v>
      </c>
      <c r="T19" s="19">
        <f>IFERROR(Tabela1[[#This Row],[Tméd (s)]]/Tabela1[[#This Row],[Frequência]],"")</f>
        <v>0.67000000000000026</v>
      </c>
      <c r="AI19" t="str" cm="1">
        <f t="array" ref="AI19:AI23">_xlfn.UNIQUE(Tabela1[ID])</f>
        <v>OP1</v>
      </c>
      <c r="AJ19" s="41" cm="1">
        <f t="array" ref="AJ19:AL23">SUMIFS(Tabela1[Tméd ajustado (s)],Tabela1[Classificação],AJ16:AL16,Tabela1[ID],_xlfn.ANCHORARRAY(Y2))</f>
        <v>0.46500000000000008</v>
      </c>
      <c r="AK19" s="41">
        <v>4.415</v>
      </c>
      <c r="AL19" s="41">
        <v>1.2849999999999999</v>
      </c>
    </row>
    <row r="20" spans="1:38" x14ac:dyDescent="0.25">
      <c r="A20" t="s">
        <v>86</v>
      </c>
      <c r="B20" s="16" t="s">
        <v>29</v>
      </c>
      <c r="C20" t="s">
        <v>88</v>
      </c>
      <c r="D20" s="25" t="s">
        <v>74</v>
      </c>
      <c r="E20" s="27" t="s">
        <v>36</v>
      </c>
      <c r="F20" s="19">
        <v>0.56999999999999995</v>
      </c>
      <c r="G20" s="19">
        <v>0.3</v>
      </c>
      <c r="H20" s="19">
        <v>0.56999999999999995</v>
      </c>
      <c r="I20" s="19"/>
      <c r="J20" s="19"/>
      <c r="K20" s="19"/>
      <c r="L20" s="19"/>
      <c r="M20" s="19"/>
      <c r="N20" s="19"/>
      <c r="O20" s="19"/>
      <c r="P20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0.57000000000000006</v>
      </c>
      <c r="Q20" s="38">
        <v>1</v>
      </c>
      <c r="R20" s="37"/>
      <c r="S20" s="40">
        <v>1</v>
      </c>
      <c r="T20" s="19">
        <f>IFERROR(Tabela1[[#This Row],[Tméd (s)]]/Tabela1[[#This Row],[Frequência]],"")</f>
        <v>0.57000000000000006</v>
      </c>
      <c r="AI20" t="str">
        <v>OP2</v>
      </c>
      <c r="AJ20" s="41">
        <v>0.57000000000000006</v>
      </c>
      <c r="AK20" s="41">
        <v>5.6099999999999985</v>
      </c>
      <c r="AL20" s="41">
        <v>0</v>
      </c>
    </row>
    <row r="21" spans="1:38" x14ac:dyDescent="0.25">
      <c r="A21" t="s">
        <v>73</v>
      </c>
      <c r="B21" s="16" t="s">
        <v>30</v>
      </c>
      <c r="C21" t="s">
        <v>90</v>
      </c>
      <c r="D21" s="25" t="s">
        <v>74</v>
      </c>
      <c r="E21" s="27" t="s">
        <v>37</v>
      </c>
      <c r="F21" s="19">
        <v>0.77</v>
      </c>
      <c r="G21" s="19">
        <v>0.87</v>
      </c>
      <c r="H21" s="19">
        <v>1.1000000000000001</v>
      </c>
      <c r="I21" s="19">
        <v>0.875</v>
      </c>
      <c r="J21" s="19">
        <v>0.97899999999999998</v>
      </c>
      <c r="K21" s="19">
        <v>0.97399999999999998</v>
      </c>
      <c r="L21" s="19">
        <v>0.90600000000000003</v>
      </c>
      <c r="M21" s="19">
        <v>0.90900000000000003</v>
      </c>
      <c r="N21" s="19">
        <v>0.97199999999999998</v>
      </c>
      <c r="O21" s="19">
        <v>0.95699999999999996</v>
      </c>
      <c r="P21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0.93025000000000024</v>
      </c>
      <c r="Q21" s="38">
        <v>1</v>
      </c>
      <c r="R21" s="37"/>
      <c r="S21" s="40">
        <v>1</v>
      </c>
      <c r="T21" s="19">
        <f>IFERROR(Tabela1[[#This Row],[Tméd (s)]]/Tabela1[[#This Row],[Frequência]],"")</f>
        <v>0.93025000000000024</v>
      </c>
      <c r="AI21" t="str">
        <v>OP3</v>
      </c>
      <c r="AJ21" s="41">
        <v>1.3892500000000001</v>
      </c>
      <c r="AK21" s="41">
        <v>1.0035833333333335</v>
      </c>
      <c r="AL21" s="41">
        <v>1.2</v>
      </c>
    </row>
    <row r="22" spans="1:38" x14ac:dyDescent="0.25">
      <c r="A22" t="s">
        <v>73</v>
      </c>
      <c r="B22" s="16" t="s">
        <v>30</v>
      </c>
      <c r="C22" t="s">
        <v>92</v>
      </c>
      <c r="D22" s="25" t="s">
        <v>91</v>
      </c>
      <c r="E22" s="27" t="s">
        <v>36</v>
      </c>
      <c r="F22" s="19">
        <v>1.47</v>
      </c>
      <c r="G22" s="19">
        <v>1.33</v>
      </c>
      <c r="H22" s="19">
        <v>1.33</v>
      </c>
      <c r="I22" s="19">
        <v>1.47</v>
      </c>
      <c r="J22" s="19">
        <v>1.4</v>
      </c>
      <c r="K22" s="19">
        <v>1.347</v>
      </c>
      <c r="L22" s="19">
        <v>1.4059999999999999</v>
      </c>
      <c r="M22" s="19">
        <v>1.4</v>
      </c>
      <c r="N22" s="19">
        <v>1.361</v>
      </c>
      <c r="O22" s="19">
        <v>1.4</v>
      </c>
      <c r="P22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1.3892500000000001</v>
      </c>
      <c r="Q22" s="38">
        <v>1</v>
      </c>
      <c r="R22" s="37"/>
      <c r="S22" s="40">
        <v>1</v>
      </c>
      <c r="T22" s="19">
        <f>IFERROR(Tabela1[[#This Row],[Tméd (s)]]/Tabela1[[#This Row],[Frequência]],"")</f>
        <v>1.3892500000000001</v>
      </c>
      <c r="AI22" t="str">
        <v>OP4</v>
      </c>
      <c r="AJ22" s="41">
        <v>1.9376249999999997</v>
      </c>
      <c r="AK22" s="41">
        <v>2.4366250000000003</v>
      </c>
      <c r="AL22" s="41">
        <v>3.0892499999999998</v>
      </c>
    </row>
    <row r="23" spans="1:38" x14ac:dyDescent="0.25">
      <c r="A23" t="s">
        <v>73</v>
      </c>
      <c r="B23" s="16" t="s">
        <v>30</v>
      </c>
      <c r="C23" t="s">
        <v>93</v>
      </c>
      <c r="D23" s="25" t="s">
        <v>91</v>
      </c>
      <c r="E23" s="27" t="s">
        <v>37</v>
      </c>
      <c r="F23" s="19">
        <v>1.1000000000000001</v>
      </c>
      <c r="G23" s="19"/>
      <c r="H23" s="19"/>
      <c r="I23" s="19"/>
      <c r="J23" s="19"/>
      <c r="K23" s="19"/>
      <c r="L23" s="19"/>
      <c r="M23" s="19"/>
      <c r="N23" s="19"/>
      <c r="O23" s="19"/>
      <c r="P23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1.1000000000000001</v>
      </c>
      <c r="Q23" s="38">
        <v>1</v>
      </c>
      <c r="R23" s="37"/>
      <c r="S23" s="40">
        <v>15</v>
      </c>
      <c r="T23" s="19">
        <f>IFERROR(Tabela1[[#This Row],[Tméd (s)]]/Tabela1[[#This Row],[Frequência]],"")</f>
        <v>7.3333333333333334E-2</v>
      </c>
      <c r="AI23" t="str">
        <v>OP5</v>
      </c>
      <c r="AJ23" s="41">
        <v>0</v>
      </c>
      <c r="AK23" s="41">
        <v>4.2954351015569845</v>
      </c>
      <c r="AL23" s="41">
        <v>1.2942222222222224</v>
      </c>
    </row>
    <row r="24" spans="1:38" x14ac:dyDescent="0.25">
      <c r="A24" t="s">
        <v>73</v>
      </c>
      <c r="B24" s="16" t="s">
        <v>30</v>
      </c>
      <c r="C24" t="s">
        <v>94</v>
      </c>
      <c r="D24" s="25" t="s">
        <v>91</v>
      </c>
      <c r="E24" s="27" t="s">
        <v>38</v>
      </c>
      <c r="F24" s="19">
        <v>120</v>
      </c>
      <c r="G24" s="19"/>
      <c r="H24" s="19"/>
      <c r="I24" s="19"/>
      <c r="J24" s="19"/>
      <c r="K24" s="19"/>
      <c r="L24" s="19"/>
      <c r="M24" s="19"/>
      <c r="N24" s="19"/>
      <c r="O24" s="19"/>
      <c r="P24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120</v>
      </c>
      <c r="Q24" s="38">
        <v>1</v>
      </c>
      <c r="R24" s="37"/>
      <c r="S24" s="40">
        <v>100</v>
      </c>
      <c r="T24" s="19">
        <f>IFERROR(Tabela1[[#This Row],[Tméd (s)]]/Tabela1[[#This Row],[Frequência]],"")</f>
        <v>1.2</v>
      </c>
      <c r="AJ24" s="41"/>
      <c r="AK24" s="41"/>
      <c r="AL24" s="41"/>
    </row>
    <row r="25" spans="1:38" x14ac:dyDescent="0.25">
      <c r="A25" t="s">
        <v>102</v>
      </c>
      <c r="B25" s="16" t="s">
        <v>31</v>
      </c>
      <c r="C25" t="s">
        <v>95</v>
      </c>
      <c r="D25" s="25" t="s">
        <v>74</v>
      </c>
      <c r="E25" s="27" t="s">
        <v>37</v>
      </c>
      <c r="F25" s="19">
        <v>1</v>
      </c>
      <c r="G25" s="19">
        <v>0.7</v>
      </c>
      <c r="H25" s="19">
        <v>0.8</v>
      </c>
      <c r="I25" s="19">
        <v>0.93</v>
      </c>
      <c r="J25" s="19">
        <v>0.8</v>
      </c>
      <c r="K25" s="19">
        <v>0.97699999999999998</v>
      </c>
      <c r="L25" s="19">
        <v>0.94699999999999995</v>
      </c>
      <c r="M25" s="19">
        <v>0.80300000000000005</v>
      </c>
      <c r="N25" s="19">
        <v>0.90900000000000003</v>
      </c>
      <c r="O25" s="19">
        <v>0.92900000000000005</v>
      </c>
      <c r="P25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0.88687499999999997</v>
      </c>
      <c r="Q25" s="38">
        <v>1</v>
      </c>
      <c r="R25" s="37"/>
      <c r="S25" s="40">
        <v>1</v>
      </c>
      <c r="T25" s="19">
        <f>IFERROR(Tabela1[[#This Row],[Tméd (s)]]/Tabela1[[#This Row],[Frequência]],"")</f>
        <v>0.88687499999999997</v>
      </c>
      <c r="AJ25" s="42">
        <f>SUM(AJ19:AJ24)</f>
        <v>4.3618749999999995</v>
      </c>
      <c r="AK25" s="42">
        <f>SUM(AK19:AK24)</f>
        <v>17.760643434890319</v>
      </c>
      <c r="AL25" s="42">
        <f>SUM(AL19:AL24)</f>
        <v>6.8684722222222216</v>
      </c>
    </row>
    <row r="26" spans="1:38" x14ac:dyDescent="0.25">
      <c r="A26" t="s">
        <v>102</v>
      </c>
      <c r="B26" s="16" t="s">
        <v>31</v>
      </c>
      <c r="C26" t="s">
        <v>96</v>
      </c>
      <c r="D26" s="25" t="s">
        <v>74</v>
      </c>
      <c r="E26" s="27" t="s">
        <v>37</v>
      </c>
      <c r="F26" s="19">
        <v>0.6</v>
      </c>
      <c r="G26" s="19">
        <v>1</v>
      </c>
      <c r="H26" s="19">
        <v>2.27</v>
      </c>
      <c r="I26" s="19">
        <v>0.56999999999999995</v>
      </c>
      <c r="J26" s="19">
        <v>0.56999999999999995</v>
      </c>
      <c r="K26" s="19">
        <v>1.8779999999999999</v>
      </c>
      <c r="L26" s="19">
        <v>0.70899999999999996</v>
      </c>
      <c r="M26" s="19">
        <v>1.4550000000000001</v>
      </c>
      <c r="N26" s="19">
        <v>0.65500000000000003</v>
      </c>
      <c r="O26" s="19">
        <v>1.27</v>
      </c>
      <c r="P26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1.0171249999999998</v>
      </c>
      <c r="Q26" s="38">
        <v>1</v>
      </c>
      <c r="R26" s="37"/>
      <c r="S26" s="40">
        <v>1</v>
      </c>
      <c r="T26" s="19">
        <f>IFERROR(Tabela1[[#This Row],[Tméd (s)]]/Tabela1[[#This Row],[Frequência]],"")</f>
        <v>1.0171249999999998</v>
      </c>
    </row>
    <row r="27" spans="1:38" x14ac:dyDescent="0.25">
      <c r="A27" t="s">
        <v>102</v>
      </c>
      <c r="B27" s="16" t="s">
        <v>31</v>
      </c>
      <c r="C27" t="s">
        <v>97</v>
      </c>
      <c r="D27" s="25" t="s">
        <v>74</v>
      </c>
      <c r="E27" s="27" t="s">
        <v>36</v>
      </c>
      <c r="F27" s="19">
        <v>2.13</v>
      </c>
      <c r="G27" s="19">
        <v>1.83</v>
      </c>
      <c r="H27" s="19">
        <v>2.8</v>
      </c>
      <c r="I27" s="19">
        <v>2</v>
      </c>
      <c r="J27" s="19">
        <v>1.73</v>
      </c>
      <c r="K27" s="19">
        <v>1.8620000000000001</v>
      </c>
      <c r="L27" s="19">
        <v>2.1840000000000002</v>
      </c>
      <c r="M27" s="19">
        <v>1.7470000000000001</v>
      </c>
      <c r="N27" s="19">
        <v>1.7430000000000001</v>
      </c>
      <c r="O27" s="19">
        <v>2.0049999999999999</v>
      </c>
      <c r="P27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1.9376249999999997</v>
      </c>
      <c r="Q27" s="38">
        <v>1</v>
      </c>
      <c r="R27" s="37"/>
      <c r="S27" s="40">
        <v>1</v>
      </c>
      <c r="T27" s="19">
        <f>IFERROR(Tabela1[[#This Row],[Tméd (s)]]/Tabela1[[#This Row],[Frequência]],"")</f>
        <v>1.9376249999999997</v>
      </c>
    </row>
    <row r="28" spans="1:38" x14ac:dyDescent="0.25">
      <c r="A28" t="s">
        <v>102</v>
      </c>
      <c r="B28" s="16" t="s">
        <v>31</v>
      </c>
      <c r="C28" t="s">
        <v>98</v>
      </c>
      <c r="D28" s="25" t="s">
        <v>74</v>
      </c>
      <c r="E28" s="27" t="s">
        <v>37</v>
      </c>
      <c r="F28" s="19">
        <v>0.67</v>
      </c>
      <c r="G28" s="19">
        <v>0.56999999999999995</v>
      </c>
      <c r="H28" s="19">
        <v>0.56999999999999995</v>
      </c>
      <c r="I28" s="19">
        <v>0.56999999999999995</v>
      </c>
      <c r="J28" s="19">
        <v>0.43</v>
      </c>
      <c r="K28" s="19">
        <v>0.51300000000000001</v>
      </c>
      <c r="L28" s="19">
        <v>0.53400000000000003</v>
      </c>
      <c r="M28" s="19">
        <v>0.49299999999999999</v>
      </c>
      <c r="N28" s="19">
        <v>0.49299999999999999</v>
      </c>
      <c r="O28" s="19">
        <v>0.51800000000000002</v>
      </c>
      <c r="P28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0.53262500000000013</v>
      </c>
      <c r="Q28" s="38">
        <v>1</v>
      </c>
      <c r="R28" s="37"/>
      <c r="S28" s="40">
        <v>1</v>
      </c>
      <c r="T28" s="19">
        <f>IFERROR(Tabela1[[#This Row],[Tméd (s)]]/Tabela1[[#This Row],[Frequência]],"")</f>
        <v>0.53262500000000013</v>
      </c>
    </row>
    <row r="29" spans="1:38" x14ac:dyDescent="0.25">
      <c r="A29" t="s">
        <v>102</v>
      </c>
      <c r="B29" s="16" t="s">
        <v>31</v>
      </c>
      <c r="C29" t="s">
        <v>99</v>
      </c>
      <c r="D29" s="25" t="s">
        <v>74</v>
      </c>
      <c r="E29" s="27" t="s">
        <v>38</v>
      </c>
      <c r="F29" s="19">
        <v>2.13</v>
      </c>
      <c r="G29" s="19">
        <v>0.4</v>
      </c>
      <c r="H29" s="19">
        <v>0.63</v>
      </c>
      <c r="I29" s="19">
        <v>0.56999999999999995</v>
      </c>
      <c r="J29" s="19">
        <v>2.13</v>
      </c>
      <c r="K29" s="19">
        <v>1.115</v>
      </c>
      <c r="L29" s="19">
        <v>1.661</v>
      </c>
      <c r="M29" s="19">
        <v>1.3919999999999999</v>
      </c>
      <c r="N29" s="19">
        <v>0.76800000000000002</v>
      </c>
      <c r="O29" s="19">
        <v>2.048</v>
      </c>
      <c r="P29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1.2892499999999998</v>
      </c>
      <c r="Q29" s="38">
        <v>1</v>
      </c>
      <c r="R29" s="37"/>
      <c r="S29" s="40">
        <v>1</v>
      </c>
      <c r="T29" s="19">
        <f>IFERROR(Tabela1[[#This Row],[Tméd (s)]]/Tabela1[[#This Row],[Frequência]],"")</f>
        <v>1.2892499999999998</v>
      </c>
    </row>
    <row r="30" spans="1:38" x14ac:dyDescent="0.25">
      <c r="A30" t="s">
        <v>102</v>
      </c>
      <c r="B30" s="16" t="s">
        <v>31</v>
      </c>
      <c r="C30" t="s">
        <v>100</v>
      </c>
      <c r="D30" s="25" t="s">
        <v>74</v>
      </c>
      <c r="E30" s="27" t="s">
        <v>38</v>
      </c>
      <c r="F30" s="19">
        <v>6</v>
      </c>
      <c r="G30" s="19"/>
      <c r="H30" s="19"/>
      <c r="I30" s="19"/>
      <c r="J30" s="19"/>
      <c r="K30" s="19"/>
      <c r="L30" s="19"/>
      <c r="M30" s="19"/>
      <c r="N30" s="19"/>
      <c r="O30" s="19"/>
      <c r="P30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6</v>
      </c>
      <c r="Q30" s="38">
        <v>1</v>
      </c>
      <c r="R30" s="37"/>
      <c r="S30" s="40">
        <v>10</v>
      </c>
      <c r="T30" s="19">
        <f>IFERROR(Tabela1[[#This Row],[Tméd (s)]]/Tabela1[[#This Row],[Frequência]],"")</f>
        <v>0.6</v>
      </c>
    </row>
    <row r="31" spans="1:38" x14ac:dyDescent="0.25">
      <c r="A31" t="s">
        <v>102</v>
      </c>
      <c r="B31" s="16" t="s">
        <v>31</v>
      </c>
      <c r="C31" t="s">
        <v>101</v>
      </c>
      <c r="D31" s="25" t="s">
        <v>74</v>
      </c>
      <c r="E31" s="27" t="s">
        <v>38</v>
      </c>
      <c r="F31" s="19">
        <v>120</v>
      </c>
      <c r="G31" s="19"/>
      <c r="H31" s="19"/>
      <c r="I31" s="19"/>
      <c r="J31" s="19"/>
      <c r="K31" s="19"/>
      <c r="L31" s="19"/>
      <c r="M31" s="19"/>
      <c r="N31" s="19"/>
      <c r="O31" s="19"/>
      <c r="P31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120</v>
      </c>
      <c r="Q31" s="38">
        <v>1</v>
      </c>
      <c r="R31" s="37"/>
      <c r="S31" s="40">
        <v>100</v>
      </c>
      <c r="T31" s="19">
        <f>IFERROR(Tabela1[[#This Row],[Tméd (s)]]/Tabela1[[#This Row],[Frequência]],"")</f>
        <v>1.2</v>
      </c>
    </row>
    <row r="32" spans="1:38" x14ac:dyDescent="0.25">
      <c r="A32" t="s">
        <v>103</v>
      </c>
      <c r="B32" s="16" t="s">
        <v>32</v>
      </c>
      <c r="C32" t="s">
        <v>104</v>
      </c>
      <c r="D32" s="25" t="s">
        <v>74</v>
      </c>
      <c r="E32" s="27" t="s">
        <v>37</v>
      </c>
      <c r="F32" s="19">
        <v>0.9</v>
      </c>
      <c r="G32" s="19"/>
      <c r="H32" s="19"/>
      <c r="I32" s="19"/>
      <c r="J32" s="19"/>
      <c r="K32" s="19"/>
      <c r="L32" s="19"/>
      <c r="M32" s="19"/>
      <c r="N32" s="19"/>
      <c r="O32" s="19"/>
      <c r="P32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0.9</v>
      </c>
      <c r="Q32" s="38">
        <v>1</v>
      </c>
      <c r="R32" s="37"/>
      <c r="S32" s="40">
        <v>18</v>
      </c>
      <c r="T32" s="19">
        <f>IFERROR(Tabela1[[#This Row],[Tméd (s)]]/Tabela1[[#This Row],[Frequência]],"")</f>
        <v>0.05</v>
      </c>
    </row>
    <row r="33" spans="1:20" x14ac:dyDescent="0.25">
      <c r="A33" t="s">
        <v>103</v>
      </c>
      <c r="B33" s="16" t="s">
        <v>32</v>
      </c>
      <c r="C33" t="s">
        <v>105</v>
      </c>
      <c r="D33" s="25" t="s">
        <v>74</v>
      </c>
      <c r="E33" s="27" t="s">
        <v>37</v>
      </c>
      <c r="F33" s="19">
        <v>1.03</v>
      </c>
      <c r="G33" s="19"/>
      <c r="H33" s="19"/>
      <c r="I33" s="19"/>
      <c r="J33" s="19"/>
      <c r="K33" s="19"/>
      <c r="L33" s="19"/>
      <c r="M33" s="19"/>
      <c r="N33" s="19"/>
      <c r="O33" s="19"/>
      <c r="P33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1.03</v>
      </c>
      <c r="Q33" s="38">
        <v>1</v>
      </c>
      <c r="R33" s="37"/>
      <c r="S33" s="40">
        <v>18</v>
      </c>
      <c r="T33" s="19">
        <f>IFERROR(Tabela1[[#This Row],[Tméd (s)]]/Tabela1[[#This Row],[Frequência]],"")</f>
        <v>5.7222222222222223E-2</v>
      </c>
    </row>
    <row r="34" spans="1:20" x14ac:dyDescent="0.25">
      <c r="A34" t="s">
        <v>103</v>
      </c>
      <c r="B34" s="16" t="s">
        <v>32</v>
      </c>
      <c r="C34" t="s">
        <v>106</v>
      </c>
      <c r="D34" s="25" t="s">
        <v>74</v>
      </c>
      <c r="E34" s="27" t="s">
        <v>38</v>
      </c>
      <c r="F34" s="19">
        <v>1.8</v>
      </c>
      <c r="G34" s="19"/>
      <c r="H34" s="19"/>
      <c r="I34" s="19"/>
      <c r="J34" s="19"/>
      <c r="K34" s="19"/>
      <c r="L34" s="19"/>
      <c r="M34" s="19"/>
      <c r="N34" s="19"/>
      <c r="O34" s="19"/>
      <c r="P34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1.8</v>
      </c>
      <c r="Q34" s="38">
        <v>1</v>
      </c>
      <c r="R34" s="37"/>
      <c r="S34" s="40">
        <v>18</v>
      </c>
      <c r="T34" s="19">
        <f>IFERROR(Tabela1[[#This Row],[Tméd (s)]]/Tabela1[[#This Row],[Frequência]],"")</f>
        <v>0.1</v>
      </c>
    </row>
    <row r="35" spans="1:20" x14ac:dyDescent="0.25">
      <c r="A35" t="s">
        <v>103</v>
      </c>
      <c r="B35" s="16" t="s">
        <v>32</v>
      </c>
      <c r="C35" t="s">
        <v>107</v>
      </c>
      <c r="D35" s="25" t="s">
        <v>74</v>
      </c>
      <c r="E35" s="27" t="s">
        <v>38</v>
      </c>
      <c r="F35" s="19">
        <v>0.73</v>
      </c>
      <c r="G35" s="19"/>
      <c r="H35" s="19"/>
      <c r="I35" s="19"/>
      <c r="J35" s="19"/>
      <c r="K35" s="19"/>
      <c r="L35" s="19"/>
      <c r="M35" s="19"/>
      <c r="N35" s="19"/>
      <c r="O35" s="19"/>
      <c r="P35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0.73</v>
      </c>
      <c r="Q35" s="38">
        <v>1</v>
      </c>
      <c r="R35" s="37"/>
      <c r="S35" s="40">
        <v>18</v>
      </c>
      <c r="T35" s="19">
        <f>IFERROR(Tabela1[[#This Row],[Tméd (s)]]/Tabela1[[#This Row],[Frequência]],"")</f>
        <v>4.0555555555555553E-2</v>
      </c>
    </row>
    <row r="36" spans="1:20" x14ac:dyDescent="0.25">
      <c r="A36" t="s">
        <v>103</v>
      </c>
      <c r="B36" s="16" t="s">
        <v>32</v>
      </c>
      <c r="C36" t="s">
        <v>108</v>
      </c>
      <c r="D36" s="25" t="s">
        <v>74</v>
      </c>
      <c r="E36" s="27" t="s">
        <v>37</v>
      </c>
      <c r="F36" s="19">
        <v>1.47</v>
      </c>
      <c r="G36" s="19"/>
      <c r="H36" s="19"/>
      <c r="I36" s="19"/>
      <c r="J36" s="19"/>
      <c r="K36" s="19"/>
      <c r="L36" s="19"/>
      <c r="M36" s="19"/>
      <c r="N36" s="19"/>
      <c r="O36" s="19"/>
      <c r="P36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1.47</v>
      </c>
      <c r="Q36" s="38">
        <v>1</v>
      </c>
      <c r="R36" s="37"/>
      <c r="S36" s="40">
        <v>18</v>
      </c>
      <c r="T36" s="19">
        <f>IFERROR(Tabela1[[#This Row],[Tméd (s)]]/Tabela1[[#This Row],[Frequência]],"")</f>
        <v>8.1666666666666665E-2</v>
      </c>
    </row>
    <row r="37" spans="1:20" x14ac:dyDescent="0.25">
      <c r="A37" t="s">
        <v>103</v>
      </c>
      <c r="B37" s="16" t="s">
        <v>32</v>
      </c>
      <c r="C37" t="s">
        <v>110</v>
      </c>
      <c r="D37" s="25" t="s">
        <v>74</v>
      </c>
      <c r="E37" s="27" t="s">
        <v>38</v>
      </c>
      <c r="F37" s="19">
        <v>1</v>
      </c>
      <c r="G37" s="19"/>
      <c r="H37" s="19"/>
      <c r="I37" s="19"/>
      <c r="J37" s="19"/>
      <c r="K37" s="19"/>
      <c r="L37" s="19"/>
      <c r="M37" s="19"/>
      <c r="N37" s="19"/>
      <c r="O37" s="19"/>
      <c r="P37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</v>
      </c>
      <c r="Q37" s="38">
        <v>1</v>
      </c>
      <c r="R37" s="37"/>
      <c r="S37" s="40">
        <v>18</v>
      </c>
      <c r="T37" s="19">
        <f>IFERROR(Tabela1[[#This Row],[Tméd (s)]]/Tabela1[[#This Row],[Frequência]],"")</f>
        <v>5.5555555555555552E-2</v>
      </c>
    </row>
    <row r="38" spans="1:20" x14ac:dyDescent="0.25">
      <c r="A38" t="s">
        <v>103</v>
      </c>
      <c r="B38" s="16" t="s">
        <v>32</v>
      </c>
      <c r="C38" t="s">
        <v>109</v>
      </c>
      <c r="D38" s="25" t="s">
        <v>74</v>
      </c>
      <c r="E38" s="27" t="s">
        <v>38</v>
      </c>
      <c r="F38" s="19">
        <v>2.33</v>
      </c>
      <c r="G38" s="19"/>
      <c r="H38" s="19"/>
      <c r="I38" s="19"/>
      <c r="J38" s="19"/>
      <c r="K38" s="19"/>
      <c r="L38" s="19"/>
      <c r="M38" s="19"/>
      <c r="N38" s="19"/>
      <c r="O38" s="19"/>
      <c r="P38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2.33</v>
      </c>
      <c r="Q38" s="38">
        <v>1</v>
      </c>
      <c r="R38" s="37"/>
      <c r="S38" s="40">
        <v>18</v>
      </c>
      <c r="T38" s="19">
        <f>IFERROR(Tabela1[[#This Row],[Tméd (s)]]/Tabela1[[#This Row],[Frequência]],"")</f>
        <v>0.12944444444444445</v>
      </c>
    </row>
    <row r="39" spans="1:20" x14ac:dyDescent="0.25">
      <c r="A39" t="s">
        <v>103</v>
      </c>
      <c r="B39" s="16" t="s">
        <v>32</v>
      </c>
      <c r="C39" t="s">
        <v>111</v>
      </c>
      <c r="D39" s="25" t="s">
        <v>74</v>
      </c>
      <c r="E39" s="27" t="s">
        <v>37</v>
      </c>
      <c r="F39" s="19">
        <v>16</v>
      </c>
      <c r="G39" s="19"/>
      <c r="H39" s="19"/>
      <c r="I39" s="19"/>
      <c r="J39" s="19"/>
      <c r="K39" s="19"/>
      <c r="L39" s="19"/>
      <c r="M39" s="19"/>
      <c r="N39" s="19"/>
      <c r="O39" s="19"/>
      <c r="P39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16</v>
      </c>
      <c r="Q39" s="38">
        <v>1</v>
      </c>
      <c r="R39" s="37"/>
      <c r="S39" s="40">
        <v>18</v>
      </c>
      <c r="T39" s="19">
        <f>IFERROR(Tabela1[[#This Row],[Tméd (s)]]/Tabela1[[#This Row],[Frequência]],"")</f>
        <v>0.88888888888888884</v>
      </c>
    </row>
    <row r="40" spans="1:20" x14ac:dyDescent="0.25">
      <c r="A40" t="s">
        <v>103</v>
      </c>
      <c r="B40" s="16" t="s">
        <v>32</v>
      </c>
      <c r="C40" t="s">
        <v>112</v>
      </c>
      <c r="D40" s="25" t="s">
        <v>74</v>
      </c>
      <c r="E40" s="27" t="s">
        <v>37</v>
      </c>
      <c r="F40" s="19">
        <v>2.4700000000000002</v>
      </c>
      <c r="G40" s="19"/>
      <c r="H40" s="19"/>
      <c r="I40" s="19"/>
      <c r="J40" s="19"/>
      <c r="K40" s="19"/>
      <c r="L40" s="19"/>
      <c r="M40" s="19"/>
      <c r="N40" s="19"/>
      <c r="O40" s="19"/>
      <c r="P40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2.4700000000000002</v>
      </c>
      <c r="Q40" s="38">
        <v>1</v>
      </c>
      <c r="R40" s="37"/>
      <c r="S40" s="40">
        <v>18</v>
      </c>
      <c r="T40" s="19">
        <f>IFERROR(Tabela1[[#This Row],[Tméd (s)]]/Tabela1[[#This Row],[Frequência]],"")</f>
        <v>0.13722222222222225</v>
      </c>
    </row>
    <row r="41" spans="1:20" x14ac:dyDescent="0.25">
      <c r="A41" t="s">
        <v>103</v>
      </c>
      <c r="B41" s="16" t="s">
        <v>32</v>
      </c>
      <c r="C41" t="s">
        <v>113</v>
      </c>
      <c r="D41" s="25" t="s">
        <v>74</v>
      </c>
      <c r="E41" s="27" t="s">
        <v>37</v>
      </c>
      <c r="F41" s="19">
        <v>1.2</v>
      </c>
      <c r="G41" s="19"/>
      <c r="H41" s="19"/>
      <c r="I41" s="19"/>
      <c r="J41" s="19"/>
      <c r="K41" s="19"/>
      <c r="L41" s="19"/>
      <c r="M41" s="19"/>
      <c r="N41" s="19"/>
      <c r="O41" s="19"/>
      <c r="P41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1.2</v>
      </c>
      <c r="Q41" s="38">
        <v>1</v>
      </c>
      <c r="R41" s="37"/>
      <c r="S41" s="40">
        <v>18</v>
      </c>
      <c r="T41" s="19">
        <f>IFERROR(Tabela1[[#This Row],[Tméd (s)]]/Tabela1[[#This Row],[Frequência]],"")</f>
        <v>6.6666666666666666E-2</v>
      </c>
    </row>
    <row r="42" spans="1:20" x14ac:dyDescent="0.25">
      <c r="A42" t="s">
        <v>103</v>
      </c>
      <c r="B42" s="16" t="s">
        <v>32</v>
      </c>
      <c r="C42" t="s">
        <v>114</v>
      </c>
      <c r="D42" s="25" t="s">
        <v>74</v>
      </c>
      <c r="E42" s="27" t="s">
        <v>37</v>
      </c>
      <c r="F42" s="19">
        <v>1.07</v>
      </c>
      <c r="G42" s="19"/>
      <c r="H42" s="19"/>
      <c r="I42" s="19"/>
      <c r="J42" s="19"/>
      <c r="K42" s="19"/>
      <c r="L42" s="19"/>
      <c r="M42" s="19"/>
      <c r="N42" s="19"/>
      <c r="O42" s="19"/>
      <c r="P42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1.07</v>
      </c>
      <c r="Q42" s="38">
        <v>1</v>
      </c>
      <c r="R42" s="37"/>
      <c r="S42" s="40">
        <v>18</v>
      </c>
      <c r="T42" s="19">
        <f>IFERROR(Tabela1[[#This Row],[Tméd (s)]]/Tabela1[[#This Row],[Frequência]],"")</f>
        <v>5.9444444444444446E-2</v>
      </c>
    </row>
    <row r="43" spans="1:20" x14ac:dyDescent="0.25">
      <c r="A43" t="s">
        <v>103</v>
      </c>
      <c r="B43" s="16" t="s">
        <v>32</v>
      </c>
      <c r="C43" t="s">
        <v>110</v>
      </c>
      <c r="D43" s="25" t="s">
        <v>74</v>
      </c>
      <c r="E43" s="27" t="s">
        <v>38</v>
      </c>
      <c r="F43" s="19">
        <v>0.83</v>
      </c>
      <c r="G43" s="19"/>
      <c r="H43" s="19"/>
      <c r="I43" s="19"/>
      <c r="J43" s="19"/>
      <c r="K43" s="19"/>
      <c r="L43" s="19"/>
      <c r="M43" s="19"/>
      <c r="N43" s="19"/>
      <c r="O43" s="19"/>
      <c r="P43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0.83</v>
      </c>
      <c r="Q43" s="38">
        <v>1</v>
      </c>
      <c r="R43" s="37"/>
      <c r="S43" s="40">
        <v>18</v>
      </c>
      <c r="T43" s="19">
        <f>IFERROR(Tabela1[[#This Row],[Tméd (s)]]/Tabela1[[#This Row],[Frequência]],"")</f>
        <v>4.611111111111111E-2</v>
      </c>
    </row>
    <row r="44" spans="1:20" x14ac:dyDescent="0.25">
      <c r="A44" t="s">
        <v>103</v>
      </c>
      <c r="B44" s="16" t="s">
        <v>32</v>
      </c>
      <c r="C44" t="s">
        <v>115</v>
      </c>
      <c r="D44" s="25" t="s">
        <v>74</v>
      </c>
      <c r="E44" s="27" t="s">
        <v>38</v>
      </c>
      <c r="F44" s="19">
        <v>0.93</v>
      </c>
      <c r="G44" s="19"/>
      <c r="H44" s="19"/>
      <c r="I44" s="19"/>
      <c r="J44" s="19"/>
      <c r="K44" s="19"/>
      <c r="L44" s="19"/>
      <c r="M44" s="19"/>
      <c r="N44" s="19"/>
      <c r="O44" s="19"/>
      <c r="P44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0.93</v>
      </c>
      <c r="Q44" s="38">
        <v>1</v>
      </c>
      <c r="R44" s="37"/>
      <c r="S44" s="40">
        <v>18</v>
      </c>
      <c r="T44" s="19">
        <f>IFERROR(Tabela1[[#This Row],[Tméd (s)]]/Tabela1[[#This Row],[Frequência]],"")</f>
        <v>5.1666666666666666E-2</v>
      </c>
    </row>
    <row r="45" spans="1:20" x14ac:dyDescent="0.25">
      <c r="A45" t="s">
        <v>103</v>
      </c>
      <c r="B45" s="16" t="s">
        <v>32</v>
      </c>
      <c r="C45" t="s">
        <v>116</v>
      </c>
      <c r="D45" s="25" t="s">
        <v>74</v>
      </c>
      <c r="E45" s="27" t="s">
        <v>37</v>
      </c>
      <c r="F45" s="19">
        <v>4.87</v>
      </c>
      <c r="G45" s="19"/>
      <c r="H45" s="19"/>
      <c r="I45" s="19"/>
      <c r="J45" s="19"/>
      <c r="K45" s="19"/>
      <c r="L45" s="19"/>
      <c r="M45" s="19"/>
      <c r="N45" s="19"/>
      <c r="O45" s="19"/>
      <c r="P45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4.87</v>
      </c>
      <c r="Q45" s="38">
        <v>1</v>
      </c>
      <c r="R45" s="37"/>
      <c r="S45" s="40">
        <v>18</v>
      </c>
      <c r="T45" s="19">
        <f>IFERROR(Tabela1[[#This Row],[Tméd (s)]]/Tabela1[[#This Row],[Frequência]],"")</f>
        <v>0.27055555555555555</v>
      </c>
    </row>
    <row r="46" spans="1:20" x14ac:dyDescent="0.25">
      <c r="A46" t="s">
        <v>103</v>
      </c>
      <c r="B46" s="16" t="s">
        <v>32</v>
      </c>
      <c r="C46" t="s">
        <v>117</v>
      </c>
      <c r="D46" s="25" t="s">
        <v>74</v>
      </c>
      <c r="E46" s="27" t="s">
        <v>38</v>
      </c>
      <c r="F46" s="19">
        <v>3.6</v>
      </c>
      <c r="G46" s="19"/>
      <c r="H46" s="19"/>
      <c r="I46" s="19"/>
      <c r="J46" s="19"/>
      <c r="K46" s="19"/>
      <c r="L46" s="19"/>
      <c r="M46" s="19"/>
      <c r="N46" s="19"/>
      <c r="O46" s="19"/>
      <c r="P46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3.6</v>
      </c>
      <c r="Q46" s="38">
        <v>1</v>
      </c>
      <c r="R46" s="37"/>
      <c r="S46" s="40">
        <v>18</v>
      </c>
      <c r="T46" s="19">
        <f>IFERROR(Tabela1[[#This Row],[Tméd (s)]]/Tabela1[[#This Row],[Frequência]],"")</f>
        <v>0.2</v>
      </c>
    </row>
    <row r="47" spans="1:20" x14ac:dyDescent="0.25">
      <c r="A47" t="s">
        <v>103</v>
      </c>
      <c r="B47" s="16" t="s">
        <v>32</v>
      </c>
      <c r="C47" t="s">
        <v>118</v>
      </c>
      <c r="D47" s="25" t="s">
        <v>74</v>
      </c>
      <c r="E47" s="27" t="s">
        <v>38</v>
      </c>
      <c r="F47" s="19">
        <v>1.06</v>
      </c>
      <c r="G47" s="19"/>
      <c r="H47" s="19"/>
      <c r="I47" s="19"/>
      <c r="J47" s="19"/>
      <c r="K47" s="19"/>
      <c r="L47" s="19"/>
      <c r="M47" s="19"/>
      <c r="N47" s="19"/>
      <c r="O47" s="19"/>
      <c r="P47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1.06</v>
      </c>
      <c r="Q47" s="38">
        <v>1</v>
      </c>
      <c r="R47" s="37"/>
      <c r="S47" s="40">
        <v>18</v>
      </c>
      <c r="T47" s="19">
        <f>IFERROR(Tabela1[[#This Row],[Tméd (s)]]/Tabela1[[#This Row],[Frequência]],"")</f>
        <v>5.8888888888888893E-2</v>
      </c>
    </row>
    <row r="48" spans="1:20" x14ac:dyDescent="0.25">
      <c r="A48" t="s">
        <v>103</v>
      </c>
      <c r="B48" s="16" t="s">
        <v>32</v>
      </c>
      <c r="C48" t="s">
        <v>119</v>
      </c>
      <c r="D48" s="25" t="s">
        <v>74</v>
      </c>
      <c r="E48" s="27" t="s">
        <v>37</v>
      </c>
      <c r="F48" s="19">
        <v>120</v>
      </c>
      <c r="G48" s="19"/>
      <c r="H48" s="19"/>
      <c r="I48" s="19"/>
      <c r="J48" s="19"/>
      <c r="K48" s="19"/>
      <c r="L48" s="19"/>
      <c r="M48" s="19"/>
      <c r="N48" s="19"/>
      <c r="O48" s="19"/>
      <c r="P48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120</v>
      </c>
      <c r="Q48" s="38">
        <v>1</v>
      </c>
      <c r="R48" s="37"/>
      <c r="S48" s="40">
        <v>90</v>
      </c>
      <c r="T48" s="19">
        <f>IFERROR(Tabela1[[#This Row],[Tméd (s)]]/Tabela1[[#This Row],[Frequência]],"")</f>
        <v>1.3333333333333333</v>
      </c>
    </row>
    <row r="49" spans="1:20" x14ac:dyDescent="0.25">
      <c r="A49" t="s">
        <v>103</v>
      </c>
      <c r="B49" s="16" t="s">
        <v>32</v>
      </c>
      <c r="C49" t="s">
        <v>120</v>
      </c>
      <c r="D49" s="25" t="s">
        <v>74</v>
      </c>
      <c r="E49" s="27" t="s">
        <v>37</v>
      </c>
      <c r="F49" s="19">
        <v>0.83</v>
      </c>
      <c r="G49" s="19">
        <v>1.4</v>
      </c>
      <c r="H49" s="19">
        <v>0.9</v>
      </c>
      <c r="I49" s="19">
        <v>0.87</v>
      </c>
      <c r="J49" s="19">
        <v>0.87</v>
      </c>
      <c r="K49" s="19">
        <v>0.83919049771573351</v>
      </c>
      <c r="L49" s="19">
        <v>1.1860711679924729</v>
      </c>
      <c r="M49" s="19">
        <v>1.159219042965945</v>
      </c>
      <c r="N49" s="19">
        <v>0.90109433117876148</v>
      </c>
      <c r="O49" s="19">
        <v>0.87790577260296521</v>
      </c>
      <c r="P49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0.95043510155698474</v>
      </c>
      <c r="Q49" s="38">
        <v>1</v>
      </c>
      <c r="R49" s="37"/>
      <c r="S49" s="40">
        <v>1</v>
      </c>
      <c r="T49" s="19">
        <f>IFERROR(Tabela1[[#This Row],[Tméd (s)]]/Tabela1[[#This Row],[Frequência]],"")</f>
        <v>0.95043510155698474</v>
      </c>
    </row>
    <row r="50" spans="1:20" x14ac:dyDescent="0.25">
      <c r="A50" t="s">
        <v>103</v>
      </c>
      <c r="B50" s="16" t="s">
        <v>32</v>
      </c>
      <c r="C50" t="s">
        <v>121</v>
      </c>
      <c r="D50" s="25" t="s">
        <v>74</v>
      </c>
      <c r="E50" s="27" t="s">
        <v>38</v>
      </c>
      <c r="F50" s="19">
        <v>2.5</v>
      </c>
      <c r="G50" s="19"/>
      <c r="H50" s="19"/>
      <c r="I50" s="19"/>
      <c r="J50" s="19"/>
      <c r="K50" s="19"/>
      <c r="L50" s="19"/>
      <c r="M50" s="19"/>
      <c r="N50" s="19"/>
      <c r="O50" s="19"/>
      <c r="P50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2.5</v>
      </c>
      <c r="Q50" s="38">
        <v>1</v>
      </c>
      <c r="R50" s="37"/>
      <c r="S50" s="40">
        <v>50</v>
      </c>
      <c r="T50" s="19">
        <f>IFERROR(Tabela1[[#This Row],[Tméd (s)]]/Tabela1[[#This Row],[Frequência]],"")</f>
        <v>0.05</v>
      </c>
    </row>
    <row r="51" spans="1:20" x14ac:dyDescent="0.25">
      <c r="A51" t="s">
        <v>103</v>
      </c>
      <c r="B51" s="16" t="s">
        <v>32</v>
      </c>
      <c r="C51" t="s">
        <v>122</v>
      </c>
      <c r="D51" s="25" t="s">
        <v>74</v>
      </c>
      <c r="E51" s="27" t="s">
        <v>38</v>
      </c>
      <c r="F51" s="19">
        <v>13.93</v>
      </c>
      <c r="G51" s="19"/>
      <c r="H51" s="19"/>
      <c r="I51" s="19"/>
      <c r="J51" s="19"/>
      <c r="K51" s="19"/>
      <c r="L51" s="19"/>
      <c r="M51" s="19"/>
      <c r="N51" s="19"/>
      <c r="O51" s="19"/>
      <c r="P51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13.93</v>
      </c>
      <c r="Q51" s="38">
        <v>1</v>
      </c>
      <c r="R51" s="37"/>
      <c r="S51" s="40">
        <v>50</v>
      </c>
      <c r="T51" s="19">
        <f>IFERROR(Tabela1[[#This Row],[Tméd (s)]]/Tabela1[[#This Row],[Frequência]],"")</f>
        <v>0.27860000000000001</v>
      </c>
    </row>
    <row r="52" spans="1:20" x14ac:dyDescent="0.25">
      <c r="A52" t="s">
        <v>103</v>
      </c>
      <c r="B52" s="16" t="s">
        <v>32</v>
      </c>
      <c r="C52" t="s">
        <v>123</v>
      </c>
      <c r="D52" s="25" t="s">
        <v>74</v>
      </c>
      <c r="E52" s="27" t="s">
        <v>38</v>
      </c>
      <c r="F52" s="19">
        <v>14.17</v>
      </c>
      <c r="G52" s="19"/>
      <c r="H52" s="19"/>
      <c r="I52" s="19"/>
      <c r="J52" s="19"/>
      <c r="K52" s="19"/>
      <c r="L52" s="19"/>
      <c r="M52" s="19"/>
      <c r="N52" s="19"/>
      <c r="O52" s="19"/>
      <c r="P52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14.17</v>
      </c>
      <c r="Q52" s="38">
        <v>1</v>
      </c>
      <c r="R52" s="37"/>
      <c r="S52" s="40">
        <v>50</v>
      </c>
      <c r="T52" s="19">
        <f>IFERROR(Tabela1[[#This Row],[Tméd (s)]]/Tabela1[[#This Row],[Frequência]],"")</f>
        <v>0.28339999999999999</v>
      </c>
    </row>
    <row r="53" spans="1:20" x14ac:dyDescent="0.25">
      <c r="A53" t="s">
        <v>103</v>
      </c>
      <c r="B53" s="16" t="s">
        <v>32</v>
      </c>
      <c r="C53" t="s">
        <v>136</v>
      </c>
      <c r="D53" s="25" t="s">
        <v>74</v>
      </c>
      <c r="E53" s="27" t="s">
        <v>37</v>
      </c>
      <c r="F53" s="19">
        <v>180</v>
      </c>
      <c r="G53" s="19"/>
      <c r="H53" s="19"/>
      <c r="I53" s="19"/>
      <c r="J53" s="19"/>
      <c r="K53" s="19"/>
      <c r="L53" s="19"/>
      <c r="M53" s="19"/>
      <c r="N53" s="19"/>
      <c r="O53" s="19"/>
      <c r="P53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180</v>
      </c>
      <c r="Q53" s="38">
        <v>1</v>
      </c>
      <c r="R53" s="37"/>
      <c r="S53" s="40">
        <v>450</v>
      </c>
      <c r="T53" s="19">
        <f>IFERROR(Tabela1[[#This Row],[Tméd (s)]]/Tabela1[[#This Row],[Frequência]],"")</f>
        <v>0.4</v>
      </c>
    </row>
    <row r="54" spans="1:20" x14ac:dyDescent="0.25">
      <c r="A54" t="s">
        <v>86</v>
      </c>
      <c r="B54" s="16" t="s">
        <v>29</v>
      </c>
      <c r="C54" t="s">
        <v>139</v>
      </c>
      <c r="D54" s="25" t="s">
        <v>74</v>
      </c>
      <c r="E54" s="27" t="s">
        <v>37</v>
      </c>
      <c r="F54" s="19">
        <v>120</v>
      </c>
      <c r="G54" s="19"/>
      <c r="H54" s="19"/>
      <c r="I54" s="19"/>
      <c r="J54" s="19"/>
      <c r="K54" s="19"/>
      <c r="L54" s="19"/>
      <c r="M54" s="19"/>
      <c r="N54" s="19"/>
      <c r="O54" s="19"/>
      <c r="P54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120</v>
      </c>
      <c r="Q54" s="38">
        <v>1</v>
      </c>
      <c r="R54" s="37"/>
      <c r="S54" s="40">
        <v>150</v>
      </c>
      <c r="T54" s="19">
        <f>IFERROR(Tabela1[[#This Row],[Tméd (s)]]/Tabela1[[#This Row],[Frequência]],"")</f>
        <v>0.8</v>
      </c>
    </row>
    <row r="55" spans="1:20" x14ac:dyDescent="0.25">
      <c r="A55" t="s">
        <v>86</v>
      </c>
      <c r="B55" s="16" t="s">
        <v>29</v>
      </c>
      <c r="C55" t="s">
        <v>140</v>
      </c>
      <c r="D55" s="25" t="s">
        <v>74</v>
      </c>
      <c r="E55" s="27" t="s">
        <v>37</v>
      </c>
      <c r="F55" s="19">
        <v>120</v>
      </c>
      <c r="G55" s="19"/>
      <c r="H55" s="19"/>
      <c r="I55" s="19"/>
      <c r="J55" s="19"/>
      <c r="K55" s="19"/>
      <c r="L55" s="19"/>
      <c r="M55" s="19"/>
      <c r="N55" s="19"/>
      <c r="O55" s="19"/>
      <c r="P55" s="18">
        <f>IFERROR(
  _xlfn.LET(
    _xlpm.dados, Tabela1[[#This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120</v>
      </c>
      <c r="Q55" s="38">
        <v>1</v>
      </c>
      <c r="R55" s="37"/>
      <c r="S55" s="40">
        <v>150</v>
      </c>
      <c r="T55" s="19">
        <f>IFERROR(Tabela1[[#This Row],[Tméd (s)]]/Tabela1[[#This Row],[Frequência]],"")</f>
        <v>0.8</v>
      </c>
    </row>
  </sheetData>
  <mergeCells count="11">
    <mergeCell ref="A1:L1"/>
    <mergeCell ref="A2:B2"/>
    <mergeCell ref="C2:D2"/>
    <mergeCell ref="F2:G2"/>
    <mergeCell ref="H2:I2"/>
    <mergeCell ref="J2:L2"/>
    <mergeCell ref="A3:B3"/>
    <mergeCell ref="C3:D3"/>
    <mergeCell ref="F3:G3"/>
    <mergeCell ref="H3:I3"/>
    <mergeCell ref="J3:L3"/>
  </mergeCells>
  <phoneticPr fontId="5" type="noConversion"/>
  <conditionalFormatting sqref="K6">
    <cfRule type="cellIs" dxfId="64" priority="1" operator="lessThan">
      <formula>$H$6</formula>
    </cfRule>
    <cfRule type="expression" dxfId="63" priority="2">
      <formula>$K$6&gt;$H$6</formula>
    </cfRule>
  </conditionalFormatting>
  <dataValidations disablePrompts="1" count="2">
    <dataValidation type="list" allowBlank="1" showInputMessage="1" showErrorMessage="1" sqref="J3" xr:uid="{3C959322-9574-487C-80C7-248167E00DD7}">
      <formula1>$AM$4:$AM$7</formula1>
    </dataValidation>
    <dataValidation type="list" allowBlank="1" showInputMessage="1" showErrorMessage="1" sqref="D10:D55" xr:uid="{5E2A61CF-B734-4FF9-84D0-8220C35FDE58}">
      <formula1>"TM,TMP,TMO,TOM"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P10" calculatedColumn="1"/>
    <ignoredError sqref="AD3 AD4:AD8" formula="1"/>
  </ignoredErrors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AB2A2-1E07-4910-8E88-2D65A13CBD0A}">
  <sheetPr codeName="Planilha2"/>
  <dimension ref="A1:G45"/>
  <sheetViews>
    <sheetView zoomScaleNormal="100" workbookViewId="0">
      <selection activeCell="E6" sqref="E6"/>
    </sheetView>
  </sheetViews>
  <sheetFormatPr defaultRowHeight="15" x14ac:dyDescent="0.25"/>
  <cols>
    <col min="1" max="1" width="51.42578125" bestFit="1" customWidth="1"/>
    <col min="2" max="2" width="14" bestFit="1" customWidth="1"/>
    <col min="3" max="3" width="20" bestFit="1" customWidth="1"/>
    <col min="4" max="4" width="14.42578125" bestFit="1" customWidth="1"/>
    <col min="5" max="5" width="19.28515625" bestFit="1" customWidth="1"/>
    <col min="6" max="6" width="21.42578125" bestFit="1" customWidth="1"/>
    <col min="7" max="7" width="19.42578125" bestFit="1" customWidth="1"/>
  </cols>
  <sheetData>
    <row r="1" spans="1:7" x14ac:dyDescent="0.25">
      <c r="A1" s="32" t="s">
        <v>24</v>
      </c>
      <c r="B1" s="32" t="s">
        <v>25</v>
      </c>
      <c r="C1" s="32" t="s">
        <v>64</v>
      </c>
      <c r="D1" s="32" t="s">
        <v>39</v>
      </c>
      <c r="E1" s="32" t="s">
        <v>65</v>
      </c>
      <c r="F1" s="32" t="s">
        <v>66</v>
      </c>
      <c r="G1" s="32" t="s">
        <v>89</v>
      </c>
    </row>
    <row r="2" spans="1:7" x14ac:dyDescent="0.25">
      <c r="A2" s="35" t="s">
        <v>34</v>
      </c>
      <c r="B2" s="29" t="s">
        <v>28</v>
      </c>
      <c r="C2" s="34">
        <f>IF(Tabela4[[#This Row],[Nome da operação]]&lt;&gt;"",COUNTIF(Tabela1[ID],Tabela4[[#This Row],[Operador]]),"")</f>
        <v>6</v>
      </c>
      <c r="D2" s="31">
        <f>IF(Tabela4[[#This Row],[Nome da operação]]&lt;&gt;"",SUMIF(Tabela1[Nome da operação], A2, Tabela1[Tméd ajustado (s)]),"")</f>
        <v>6.1649999999999991</v>
      </c>
      <c r="E2" s="31">
        <f>IF(Tabela4[[#This Row],[Nome da operação]]&lt;&gt;"",IF(Tabela4[[#This Row],[Movimentações]]&lt;10,Tabela4[[#This Row],[Tméd (s)]]*0.05,IF(Tabela4[[#This Row],[Movimentações]]&gt;10,Tabela4[[#This Row],[Tméd (s)]]*0.15,"ERRO")),"")</f>
        <v>0.30824999999999997</v>
      </c>
      <c r="F2" s="31">
        <f>IF(Tabela4[[#This Row],[Nome da operação]]&lt;&gt;"",Tabela4[[#This Row],[Tméd (s)]]+Tabela4[[#This Row],[Coef. Fadiga (s)]],"")</f>
        <v>6.4732499999999993</v>
      </c>
      <c r="G2" s="39">
        <f>IFERROR((Tabela4[[#This Row],[Tméd (s)]]/Tabela4[[#This Row],[Tméd ajustado (s)]]-1)*-1,"")</f>
        <v>4.7619047619047672E-2</v>
      </c>
    </row>
    <row r="3" spans="1:7" x14ac:dyDescent="0.25">
      <c r="A3" s="35" t="s">
        <v>86</v>
      </c>
      <c r="B3" s="29" t="s">
        <v>29</v>
      </c>
      <c r="C3" s="34">
        <f>IF(Tabela4[[#This Row],[Nome da operação]]&lt;&gt;"",COUNTIF(Tabela1[ID],Tabela4[[#This Row],[Operador]]),"")</f>
        <v>7</v>
      </c>
      <c r="D3" s="31">
        <f>IF(Tabela4[[#This Row],[Nome da operação]]&lt;&gt;"",SUMIF(Tabela1[Nome da operação], A3, Tabela1[Tméd ajustado (s)]),"")</f>
        <v>6.1799999999999988</v>
      </c>
      <c r="E3" s="31">
        <f>IF(Tabela4[[#This Row],[Nome da operação]]&lt;&gt;"",IF(Tabela4[[#This Row],[Movimentações]]&lt;10,Tabela4[[#This Row],[Tméd (s)]]*0.05,IF(Tabela4[[#This Row],[Movimentações]]&gt;10,Tabela4[[#This Row],[Tméd (s)]]*0.15,"ERRO")),"")</f>
        <v>0.30899999999999994</v>
      </c>
      <c r="F3" s="31">
        <f>IF(Tabela4[[#This Row],[Nome da operação]]&lt;&gt;"",Tabela4[[#This Row],[Tméd (s)]]+Tabela4[[#This Row],[Coef. Fadiga (s)]],"")</f>
        <v>6.488999999999999</v>
      </c>
      <c r="G3" s="39">
        <f>IFERROR((Tabela4[[#This Row],[Tméd (s)]]/Tabela4[[#This Row],[Tméd ajustado (s)]]-1)*-1,"")</f>
        <v>4.7619047619047672E-2</v>
      </c>
    </row>
    <row r="4" spans="1:7" x14ac:dyDescent="0.25">
      <c r="A4" s="35" t="s">
        <v>73</v>
      </c>
      <c r="B4" s="29" t="s">
        <v>30</v>
      </c>
      <c r="C4" s="34">
        <f>IF(Tabela4[[#This Row],[Nome da operação]]&lt;&gt;"",COUNTIF(Tabela1[ID],Tabela4[[#This Row],[Operador]]),"")</f>
        <v>4</v>
      </c>
      <c r="D4" s="31">
        <f>IF(Tabela4[[#This Row],[Nome da operação]]&lt;&gt;"",SUMIF(Tabela1[Nome da operação], A4, Tabela1[Tméd ajustado (s)]),"")</f>
        <v>3.592833333333334</v>
      </c>
      <c r="E4" s="31">
        <f>IF(Tabela4[[#This Row],[Nome da operação]]&lt;&gt;"",IF(Tabela4[[#This Row],[Movimentações]]&lt;10,Tabela4[[#This Row],[Tméd (s)]]*0.05,IF(Tabela4[[#This Row],[Movimentações]]&gt;10,Tabela4[[#This Row],[Tméd (s)]]*0.15,"ERRO")),"")</f>
        <v>0.1796416666666667</v>
      </c>
      <c r="F4" s="31">
        <f>IF(Tabela4[[#This Row],[Nome da operação]]&lt;&gt;"",Tabela4[[#This Row],[Tméd (s)]]+Tabela4[[#This Row],[Coef. Fadiga (s)]],"")</f>
        <v>3.7724750000000009</v>
      </c>
      <c r="G4" s="39">
        <f>IFERROR((Tabela4[[#This Row],[Tméd (s)]]/Tabela4[[#This Row],[Tméd ajustado (s)]]-1)*-1,"")</f>
        <v>4.7619047619047672E-2</v>
      </c>
    </row>
    <row r="5" spans="1:7" x14ac:dyDescent="0.25">
      <c r="A5" s="35" t="s">
        <v>102</v>
      </c>
      <c r="B5" s="29" t="s">
        <v>31</v>
      </c>
      <c r="C5" s="34">
        <f>IF(Tabela4[[#This Row],[Nome da operação]]&lt;&gt;"",COUNTIF(Tabela1[ID],Tabela4[[#This Row],[Operador]]),"")</f>
        <v>7</v>
      </c>
      <c r="D5" s="31">
        <f>IF(Tabela4[[#This Row],[Nome da operação]]&lt;&gt;"",SUMIF(Tabela1[Nome da operação], A5, Tabela1[Tméd ajustado (s)]),"")</f>
        <v>7.4634999999999998</v>
      </c>
      <c r="E5" s="31">
        <f>IF(Tabela4[[#This Row],[Nome da operação]]&lt;&gt;"",IF(Tabela4[[#This Row],[Movimentações]]&lt;10,Tabela4[[#This Row],[Tméd (s)]]*0.05,IF(Tabela4[[#This Row],[Movimentações]]&gt;10,Tabela4[[#This Row],[Tméd (s)]]*0.15,"ERRO")),"")</f>
        <v>0.37317500000000003</v>
      </c>
      <c r="F5" s="31">
        <f>IF(Tabela4[[#This Row],[Nome da operação]]&lt;&gt;"",Tabela4[[#This Row],[Tméd (s)]]+Tabela4[[#This Row],[Coef. Fadiga (s)]],"")</f>
        <v>7.8366749999999996</v>
      </c>
      <c r="G5" s="39">
        <f>IFERROR((Tabela4[[#This Row],[Tméd (s)]]/Tabela4[[#This Row],[Tméd ajustado (s)]]-1)*-1,"")</f>
        <v>4.7619047619047561E-2</v>
      </c>
    </row>
    <row r="6" spans="1:7" x14ac:dyDescent="0.25">
      <c r="A6" s="35" t="s">
        <v>103</v>
      </c>
      <c r="B6" s="29" t="s">
        <v>32</v>
      </c>
      <c r="C6" s="34">
        <f>IF(Tabela4[[#This Row],[Nome da operação]]&lt;&gt;"",COUNTIF(Tabela1[ID],Tabela4[[#This Row],[Operador]]),"")</f>
        <v>22</v>
      </c>
      <c r="D6" s="31">
        <f>IF(Tabela4[[#This Row],[Nome da operação]]&lt;&gt;"",SUMIF(Tabela1[Nome da operação], A6, Tabela1[Tméd ajustado (s)]),"")</f>
        <v>5.5896573237792078</v>
      </c>
      <c r="E6" s="31">
        <f>IF(Tabela4[[#This Row],[Nome da operação]]&lt;&gt;"",IF(Tabela4[[#This Row],[Movimentações]]&lt;10,Tabela4[[#This Row],[Tméd (s)]]*0.05,IF(Tabela4[[#This Row],[Movimentações]]&gt;10,Tabela4[[#This Row],[Tméd (s)]]*0.15,"ERRO")),"")</f>
        <v>0.83844859856688114</v>
      </c>
      <c r="F6" s="31">
        <f>IF(Tabela4[[#This Row],[Nome da operação]]&lt;&gt;"",Tabela4[[#This Row],[Tméd (s)]]+Tabela4[[#This Row],[Coef. Fadiga (s)]],"")</f>
        <v>6.4281059223460888</v>
      </c>
      <c r="G6" s="39">
        <f>IFERROR((Tabela4[[#This Row],[Tméd (s)]]/Tabela4[[#This Row],[Tméd ajustado (s)]]-1)*-1,"")</f>
        <v>0.13043478260869568</v>
      </c>
    </row>
    <row r="7" spans="1:7" x14ac:dyDescent="0.25">
      <c r="A7" s="35"/>
      <c r="B7" s="29"/>
      <c r="C7" s="34" t="str">
        <f>IF(Tabela4[[#This Row],[Nome da operação]]&lt;&gt;"",COUNTIF(Tabela1[ID],Tabela4[[#This Row],[Operador]]),"")</f>
        <v/>
      </c>
      <c r="D7" s="31" t="str">
        <f>IF(Tabela4[[#This Row],[Nome da operação]]&lt;&gt;"",SUMIF(Tabela1[Nome da operação], A7, Tabela1[Tméd ajustado (s)]),"")</f>
        <v/>
      </c>
      <c r="E7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7" s="31" t="str">
        <f>IF(Tabela4[[#This Row],[Nome da operação]]&lt;&gt;"",Tabela4[[#This Row],[Tméd (s)]]+Tabela4[[#This Row],[Coef. Fadiga (s)]],"")</f>
        <v/>
      </c>
      <c r="G7" s="39" t="str">
        <f>IFERROR((Tabela4[[#This Row],[Tméd (s)]]/Tabela4[[#This Row],[Tméd ajustado (s)]]-1)*-1,"")</f>
        <v/>
      </c>
    </row>
    <row r="8" spans="1:7" x14ac:dyDescent="0.25">
      <c r="A8" s="35"/>
      <c r="B8" s="29"/>
      <c r="C8" s="34" t="str">
        <f>IF(Tabela4[[#This Row],[Nome da operação]]&lt;&gt;"",COUNTIF(Tabela1[ID],Tabela4[[#This Row],[Operador]]),"")</f>
        <v/>
      </c>
      <c r="D8" s="31" t="str">
        <f>IF(Tabela4[[#This Row],[Nome da operação]]&lt;&gt;"",SUMIF(Tabela1[Nome da operação], A8, Tabela1[Tméd ajustado (s)]),"")</f>
        <v/>
      </c>
      <c r="E8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8" s="31" t="str">
        <f>IF(Tabela4[[#This Row],[Nome da operação]]&lt;&gt;"",Tabela4[[#This Row],[Tméd (s)]]+Tabela4[[#This Row],[Coef. Fadiga (s)]],"")</f>
        <v/>
      </c>
      <c r="G8" s="39" t="str">
        <f>IFERROR((Tabela4[[#This Row],[Tméd (s)]]/Tabela4[[#This Row],[Tméd ajustado (s)]]-1)*-1,"")</f>
        <v/>
      </c>
    </row>
    <row r="9" spans="1:7" x14ac:dyDescent="0.25">
      <c r="A9" s="35"/>
      <c r="B9" s="29"/>
      <c r="C9" s="34" t="str">
        <f>IF(Tabela4[[#This Row],[Nome da operação]]&lt;&gt;"",COUNTIF(Tabela1[ID],Tabela4[[#This Row],[Operador]]),"")</f>
        <v/>
      </c>
      <c r="D9" s="31" t="str">
        <f>IF(Tabela4[[#This Row],[Nome da operação]]&lt;&gt;"",SUMIF(Tabela1[Nome da operação], A9, Tabela1[Tméd ajustado (s)]),"")</f>
        <v/>
      </c>
      <c r="E9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9" s="31" t="str">
        <f>IF(Tabela4[[#This Row],[Nome da operação]]&lt;&gt;"",Tabela4[[#This Row],[Tméd (s)]]+Tabela4[[#This Row],[Coef. Fadiga (s)]],"")</f>
        <v/>
      </c>
      <c r="G9" s="39" t="str">
        <f>IFERROR((Tabela4[[#This Row],[Tméd (s)]]/Tabela4[[#This Row],[Tméd ajustado (s)]]-1)*-1,"")</f>
        <v/>
      </c>
    </row>
    <row r="10" spans="1:7" x14ac:dyDescent="0.25">
      <c r="A10" s="28"/>
      <c r="B10" s="29"/>
      <c r="C10" s="34" t="str">
        <f>IF(Tabela4[[#This Row],[Nome da operação]]&lt;&gt;"",COUNTIF(Tabela1[ID],Tabela4[[#This Row],[Operador]]),"")</f>
        <v/>
      </c>
      <c r="D10" s="31" t="str">
        <f>IF(Tabela4[[#This Row],[Nome da operação]]&lt;&gt;"",SUMIF(Tabela1[Nome da operação], A10, Tabela1[Tméd ajustado (s)]),"")</f>
        <v/>
      </c>
      <c r="E10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10" s="31" t="str">
        <f>IF(Tabela4[[#This Row],[Nome da operação]]&lt;&gt;"",Tabela4[[#This Row],[Tméd (s)]]+Tabela4[[#This Row],[Coef. Fadiga (s)]],"")</f>
        <v/>
      </c>
      <c r="G10" s="39" t="str">
        <f>IFERROR((Tabela4[[#This Row],[Tméd (s)]]/Tabela4[[#This Row],[Tméd ajustado (s)]]-1)*-1,"")</f>
        <v/>
      </c>
    </row>
    <row r="11" spans="1:7" x14ac:dyDescent="0.25">
      <c r="A11" s="28"/>
      <c r="B11" s="29"/>
      <c r="C11" s="34" t="str">
        <f>IF(Tabela4[[#This Row],[Nome da operação]]&lt;&gt;"",COUNTIF(Tabela1[ID],Tabela4[[#This Row],[Operador]]),"")</f>
        <v/>
      </c>
      <c r="D11" s="31" t="str">
        <f>IF(Tabela4[[#This Row],[Nome da operação]]&lt;&gt;"",SUMIF(Tabela1[Nome da operação], A11, Tabela1[Tméd ajustado (s)]),"")</f>
        <v/>
      </c>
      <c r="E11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11" s="31" t="str">
        <f>IF(Tabela4[[#This Row],[Nome da operação]]&lt;&gt;"",Tabela4[[#This Row],[Tméd (s)]]+Tabela4[[#This Row],[Coef. Fadiga (s)]],"")</f>
        <v/>
      </c>
      <c r="G11" s="39" t="str">
        <f>IFERROR((Tabela4[[#This Row],[Tméd (s)]]/Tabela4[[#This Row],[Tméd ajustado (s)]]-1)*-1,"")</f>
        <v/>
      </c>
    </row>
    <row r="12" spans="1:7" x14ac:dyDescent="0.25">
      <c r="A12" s="28"/>
      <c r="B12" s="29"/>
      <c r="C12" s="34" t="str">
        <f>IF(Tabela4[[#This Row],[Nome da operação]]&lt;&gt;"",COUNTIF(Tabela1[ID],Tabela4[[#This Row],[Operador]]),"")</f>
        <v/>
      </c>
      <c r="D12" s="31" t="str">
        <f>IF(Tabela4[[#This Row],[Nome da operação]]&lt;&gt;"",SUMIF(Tabela1[Nome da operação], A12, Tabela1[Tméd ajustado (s)]),"")</f>
        <v/>
      </c>
      <c r="E12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12" s="31" t="str">
        <f>IF(Tabela4[[#This Row],[Nome da operação]]&lt;&gt;"",Tabela4[[#This Row],[Tméd (s)]]+Tabela4[[#This Row],[Coef. Fadiga (s)]],"")</f>
        <v/>
      </c>
      <c r="G12" s="39" t="str">
        <f>IFERROR((Tabela4[[#This Row],[Tméd (s)]]/Tabela4[[#This Row],[Tméd ajustado (s)]]-1)*-1,"")</f>
        <v/>
      </c>
    </row>
    <row r="13" spans="1:7" x14ac:dyDescent="0.25">
      <c r="A13" s="28"/>
      <c r="B13" s="29"/>
      <c r="C13" s="34" t="str">
        <f>IF(Tabela4[[#This Row],[Nome da operação]]&lt;&gt;"",COUNTIF(Tabela1[ID],Tabela4[[#This Row],[Operador]]),"")</f>
        <v/>
      </c>
      <c r="D13" s="31" t="str">
        <f>IF(Tabela4[[#This Row],[Nome da operação]]&lt;&gt;"",SUMIF(Tabela1[Nome da operação], A13, Tabela1[Tméd ajustado (s)]),"")</f>
        <v/>
      </c>
      <c r="E13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13" s="31" t="str">
        <f>IF(Tabela4[[#This Row],[Nome da operação]]&lt;&gt;"",Tabela4[[#This Row],[Tméd (s)]]+Tabela4[[#This Row],[Coef. Fadiga (s)]],"")</f>
        <v/>
      </c>
      <c r="G13" s="39" t="str">
        <f>IFERROR((Tabela4[[#This Row],[Tméd (s)]]/Tabela4[[#This Row],[Tméd ajustado (s)]]-1)*-1,"")</f>
        <v/>
      </c>
    </row>
    <row r="14" spans="1:7" x14ac:dyDescent="0.25">
      <c r="A14" s="28"/>
      <c r="B14" s="29"/>
      <c r="C14" s="34" t="str">
        <f>IF(Tabela4[[#This Row],[Nome da operação]]&lt;&gt;"",COUNTIF(Tabela1[ID],Tabela4[[#This Row],[Operador]]),"")</f>
        <v/>
      </c>
      <c r="D14" s="31" t="str">
        <f>IF(Tabela4[[#This Row],[Nome da operação]]&lt;&gt;"",SUMIF(Tabela1[Nome da operação], A14, Tabela1[Tméd ajustado (s)]),"")</f>
        <v/>
      </c>
      <c r="E14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14" s="31" t="str">
        <f>IF(Tabela4[[#This Row],[Nome da operação]]&lt;&gt;"",Tabela4[[#This Row],[Tméd (s)]]+Tabela4[[#This Row],[Coef. Fadiga (s)]],"")</f>
        <v/>
      </c>
      <c r="G14" s="39" t="str">
        <f>IFERROR((Tabela4[[#This Row],[Tméd (s)]]/Tabela4[[#This Row],[Tméd ajustado (s)]]-1)*-1,"")</f>
        <v/>
      </c>
    </row>
    <row r="15" spans="1:7" x14ac:dyDescent="0.25">
      <c r="A15" s="28"/>
      <c r="B15" s="29"/>
      <c r="C15" s="34" t="str">
        <f>IF(Tabela4[[#This Row],[Nome da operação]]&lt;&gt;"",COUNTIF(Tabela1[ID],Tabela4[[#This Row],[Operador]]),"")</f>
        <v/>
      </c>
      <c r="D15" s="31" t="str">
        <f>IF(Tabela4[[#This Row],[Nome da operação]]&lt;&gt;"",SUMIF(Tabela1[Nome da operação], A15, Tabela1[Tméd ajustado (s)]),"")</f>
        <v/>
      </c>
      <c r="E15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15" s="31" t="str">
        <f>IF(Tabela4[[#This Row],[Nome da operação]]&lt;&gt;"",Tabela4[[#This Row],[Tméd (s)]]+Tabela4[[#This Row],[Coef. Fadiga (s)]],"")</f>
        <v/>
      </c>
      <c r="G15" s="39" t="str">
        <f>IFERROR((Tabela4[[#This Row],[Tméd (s)]]/Tabela4[[#This Row],[Tméd ajustado (s)]]-1)*-1,"")</f>
        <v/>
      </c>
    </row>
    <row r="16" spans="1:7" x14ac:dyDescent="0.25">
      <c r="A16" s="28"/>
      <c r="B16" s="29"/>
      <c r="C16" s="34" t="str">
        <f>IF(Tabela4[[#This Row],[Nome da operação]]&lt;&gt;"",COUNTIF(Tabela1[ID],Tabela4[[#This Row],[Operador]]),"")</f>
        <v/>
      </c>
      <c r="D16" s="31" t="str">
        <f>IF(Tabela4[[#This Row],[Nome da operação]]&lt;&gt;"",SUMIF(Tabela1[Nome da operação], A16, Tabela1[Tméd ajustado (s)]),"")</f>
        <v/>
      </c>
      <c r="E16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16" s="31" t="str">
        <f>IF(Tabela4[[#This Row],[Nome da operação]]&lt;&gt;"",Tabela4[[#This Row],[Tméd (s)]]+Tabela4[[#This Row],[Coef. Fadiga (s)]],"")</f>
        <v/>
      </c>
      <c r="G16" s="39" t="str">
        <f>IFERROR((Tabela4[[#This Row],[Tméd (s)]]/Tabela4[[#This Row],[Tméd ajustado (s)]]-1)*-1,"")</f>
        <v/>
      </c>
    </row>
    <row r="17" spans="1:7" x14ac:dyDescent="0.25">
      <c r="A17" s="28"/>
      <c r="B17" s="29"/>
      <c r="C17" s="34" t="str">
        <f>IF(Tabela4[[#This Row],[Nome da operação]]&lt;&gt;"",COUNTIF(Tabela1[ID],Tabela4[[#This Row],[Operador]]),"")</f>
        <v/>
      </c>
      <c r="D17" s="31" t="str">
        <f>IF(Tabela4[[#This Row],[Nome da operação]]&lt;&gt;"",SUMIF(Tabela1[Nome da operação], A17, Tabela1[Tméd ajustado (s)]),"")</f>
        <v/>
      </c>
      <c r="E17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17" s="31" t="str">
        <f>IF(Tabela4[[#This Row],[Nome da operação]]&lt;&gt;"",Tabela4[[#This Row],[Tméd (s)]]+Tabela4[[#This Row],[Coef. Fadiga (s)]],"")</f>
        <v/>
      </c>
      <c r="G17" s="39" t="str">
        <f>IFERROR((Tabela4[[#This Row],[Tméd (s)]]/Tabela4[[#This Row],[Tméd ajustado (s)]]-1)*-1,"")</f>
        <v/>
      </c>
    </row>
    <row r="18" spans="1:7" x14ac:dyDescent="0.25">
      <c r="A18" s="28"/>
      <c r="B18" s="29"/>
      <c r="C18" s="34" t="str">
        <f>IF(Tabela4[[#This Row],[Nome da operação]]&lt;&gt;"",COUNTIF(Tabela1[ID],Tabela4[[#This Row],[Operador]]),"")</f>
        <v/>
      </c>
      <c r="D18" s="31" t="str">
        <f>IF(Tabela4[[#This Row],[Nome da operação]]&lt;&gt;"",SUMIF(Tabela1[Nome da operação], A18, Tabela1[Tméd ajustado (s)]),"")</f>
        <v/>
      </c>
      <c r="E18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18" s="31" t="str">
        <f>IF(Tabela4[[#This Row],[Nome da operação]]&lt;&gt;"",Tabela4[[#This Row],[Tméd (s)]]+Tabela4[[#This Row],[Coef. Fadiga (s)]],"")</f>
        <v/>
      </c>
      <c r="G18" s="39" t="str">
        <f>IFERROR((Tabela4[[#This Row],[Tméd (s)]]/Tabela4[[#This Row],[Tméd ajustado (s)]]-1)*-1,"")</f>
        <v/>
      </c>
    </row>
    <row r="19" spans="1:7" x14ac:dyDescent="0.25">
      <c r="A19" s="28"/>
      <c r="B19" s="29"/>
      <c r="C19" s="34" t="str">
        <f>IF(Tabela4[[#This Row],[Nome da operação]]&lt;&gt;"",COUNTIF(Tabela1[ID],Tabela4[[#This Row],[Operador]]),"")</f>
        <v/>
      </c>
      <c r="D19" s="31" t="str">
        <f>IF(Tabela4[[#This Row],[Nome da operação]]&lt;&gt;"",SUMIF(Tabela1[Nome da operação], A19, Tabela1[Tméd ajustado (s)]),"")</f>
        <v/>
      </c>
      <c r="E19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19" s="31" t="str">
        <f>IF(Tabela4[[#This Row],[Nome da operação]]&lt;&gt;"",Tabela4[[#This Row],[Tméd (s)]]+Tabela4[[#This Row],[Coef. Fadiga (s)]],"")</f>
        <v/>
      </c>
      <c r="G19" s="39" t="str">
        <f>IFERROR((Tabela4[[#This Row],[Tméd (s)]]/Tabela4[[#This Row],[Tméd ajustado (s)]]-1)*-1,"")</f>
        <v/>
      </c>
    </row>
    <row r="20" spans="1:7" x14ac:dyDescent="0.25">
      <c r="A20" s="28"/>
      <c r="B20" s="29"/>
      <c r="C20" s="34" t="str">
        <f>IF(Tabela4[[#This Row],[Nome da operação]]&lt;&gt;"",COUNTIF(Tabela1[ID],Tabela4[[#This Row],[Operador]]),"")</f>
        <v/>
      </c>
      <c r="D20" s="31" t="str">
        <f>IF(Tabela4[[#This Row],[Nome da operação]]&lt;&gt;"",SUMIF(Tabela1[Nome da operação], A20, Tabela1[Tméd ajustado (s)]),"")</f>
        <v/>
      </c>
      <c r="E20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20" s="31" t="str">
        <f>IF(Tabela4[[#This Row],[Nome da operação]]&lt;&gt;"",Tabela4[[#This Row],[Tméd (s)]]+Tabela4[[#This Row],[Coef. Fadiga (s)]],"")</f>
        <v/>
      </c>
      <c r="G20" s="39" t="str">
        <f>IFERROR((Tabela4[[#This Row],[Tméd (s)]]/Tabela4[[#This Row],[Tméd ajustado (s)]]-1)*-1,"")</f>
        <v/>
      </c>
    </row>
    <row r="21" spans="1:7" x14ac:dyDescent="0.25">
      <c r="A21" s="28"/>
      <c r="B21" s="29"/>
      <c r="C21" s="34" t="str">
        <f>IF(Tabela4[[#This Row],[Nome da operação]]&lt;&gt;"",COUNTIF(Tabela1[ID],Tabela4[[#This Row],[Operador]]),"")</f>
        <v/>
      </c>
      <c r="D21" s="31" t="str">
        <f>IF(Tabela4[[#This Row],[Nome da operação]]&lt;&gt;"",SUMIF(Tabela1[Nome da operação], A21, Tabela1[Tméd ajustado (s)]),"")</f>
        <v/>
      </c>
      <c r="E21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21" s="31" t="str">
        <f>IF(Tabela4[[#This Row],[Nome da operação]]&lt;&gt;"",Tabela4[[#This Row],[Tméd (s)]]+Tabela4[[#This Row],[Coef. Fadiga (s)]],"")</f>
        <v/>
      </c>
      <c r="G21" s="39" t="str">
        <f>IFERROR((Tabela4[[#This Row],[Tméd (s)]]/Tabela4[[#This Row],[Tméd ajustado (s)]]-1)*-1,"")</f>
        <v/>
      </c>
    </row>
    <row r="22" spans="1:7" x14ac:dyDescent="0.25">
      <c r="A22" s="28"/>
      <c r="B22" s="29"/>
      <c r="C22" s="34" t="str">
        <f>IF(Tabela4[[#This Row],[Nome da operação]]&lt;&gt;"",COUNTIF(Tabela1[ID],Tabela4[[#This Row],[Operador]]),"")</f>
        <v/>
      </c>
      <c r="D22" s="31" t="str">
        <f>IF(Tabela4[[#This Row],[Nome da operação]]&lt;&gt;"",SUMIF(Tabela1[Nome da operação], A22, Tabela1[Tméd ajustado (s)]),"")</f>
        <v/>
      </c>
      <c r="E22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22" s="31" t="str">
        <f>IF(Tabela4[[#This Row],[Nome da operação]]&lt;&gt;"",Tabela4[[#This Row],[Tméd (s)]]+Tabela4[[#This Row],[Coef. Fadiga (s)]],"")</f>
        <v/>
      </c>
      <c r="G22" s="39" t="str">
        <f>IFERROR((Tabela4[[#This Row],[Tméd (s)]]/Tabela4[[#This Row],[Tméd ajustado (s)]]-1)*-1,"")</f>
        <v/>
      </c>
    </row>
    <row r="23" spans="1:7" x14ac:dyDescent="0.25">
      <c r="A23" s="28"/>
      <c r="B23" s="29"/>
      <c r="C23" s="34" t="str">
        <f>IF(Tabela4[[#This Row],[Nome da operação]]&lt;&gt;"",COUNTIF(Tabela1[ID],Tabela4[[#This Row],[Operador]]),"")</f>
        <v/>
      </c>
      <c r="D23" s="31" t="str">
        <f>IF(Tabela4[[#This Row],[Nome da operação]]&lt;&gt;"",SUMIF(Tabela1[Nome da operação], A23, Tabela1[Tméd ajustado (s)]),"")</f>
        <v/>
      </c>
      <c r="E23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23" s="31" t="str">
        <f>IF(Tabela4[[#This Row],[Nome da operação]]&lt;&gt;"",Tabela4[[#This Row],[Tméd (s)]]+Tabela4[[#This Row],[Coef. Fadiga (s)]],"")</f>
        <v/>
      </c>
      <c r="G23" s="39" t="str">
        <f>IFERROR((Tabela4[[#This Row],[Tméd (s)]]/Tabela4[[#This Row],[Tméd ajustado (s)]]-1)*-1,"")</f>
        <v/>
      </c>
    </row>
    <row r="24" spans="1:7" x14ac:dyDescent="0.25">
      <c r="A24" s="28"/>
      <c r="B24" s="29"/>
      <c r="C24" s="34" t="str">
        <f>IF(Tabela4[[#This Row],[Nome da operação]]&lt;&gt;"",COUNTIF(Tabela1[ID],Tabela4[[#This Row],[Operador]]),"")</f>
        <v/>
      </c>
      <c r="D24" s="31" t="str">
        <f>IF(Tabela4[[#This Row],[Nome da operação]]&lt;&gt;"",SUMIF(Tabela1[Nome da operação], A24, Tabela1[Tméd ajustado (s)]),"")</f>
        <v/>
      </c>
      <c r="E24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24" s="31" t="str">
        <f>IF(Tabela4[[#This Row],[Nome da operação]]&lt;&gt;"",Tabela4[[#This Row],[Tméd (s)]]+Tabela4[[#This Row],[Coef. Fadiga (s)]],"")</f>
        <v/>
      </c>
      <c r="G24" s="39" t="str">
        <f>IFERROR((Tabela4[[#This Row],[Tméd (s)]]/Tabela4[[#This Row],[Tméd ajustado (s)]]-1)*-1,"")</f>
        <v/>
      </c>
    </row>
    <row r="25" spans="1:7" x14ac:dyDescent="0.25">
      <c r="A25" s="28"/>
      <c r="B25" s="29"/>
      <c r="C25" s="34" t="str">
        <f>IF(Tabela4[[#This Row],[Nome da operação]]&lt;&gt;"",COUNTIF(Tabela1[ID],Tabela4[[#This Row],[Operador]]),"")</f>
        <v/>
      </c>
      <c r="D25" s="31" t="str">
        <f>IF(Tabela4[[#This Row],[Nome da operação]]&lt;&gt;"",SUMIF(Tabela1[Nome da operação], A25, Tabela1[Tméd ajustado (s)]),"")</f>
        <v/>
      </c>
      <c r="E25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25" s="31" t="str">
        <f>IF(Tabela4[[#This Row],[Nome da operação]]&lt;&gt;"",Tabela4[[#This Row],[Tméd (s)]]+Tabela4[[#This Row],[Coef. Fadiga (s)]],"")</f>
        <v/>
      </c>
      <c r="G25" s="39" t="str">
        <f>IFERROR((Tabela4[[#This Row],[Tméd (s)]]/Tabela4[[#This Row],[Tméd ajustado (s)]]-1)*-1,"")</f>
        <v/>
      </c>
    </row>
    <row r="26" spans="1:7" x14ac:dyDescent="0.25">
      <c r="A26" s="28"/>
      <c r="B26" s="29"/>
      <c r="C26" s="34" t="str">
        <f>IF(Tabela4[[#This Row],[Nome da operação]]&lt;&gt;"",COUNTIF(Tabela1[ID],Tabela4[[#This Row],[Operador]]),"")</f>
        <v/>
      </c>
      <c r="D26" s="31" t="str">
        <f>IF(Tabela4[[#This Row],[Nome da operação]]&lt;&gt;"",SUMIF(Tabela1[Nome da operação], A26, Tabela1[Tméd ajustado (s)]),"")</f>
        <v/>
      </c>
      <c r="E26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26" s="31" t="str">
        <f>IF(Tabela4[[#This Row],[Nome da operação]]&lt;&gt;"",Tabela4[[#This Row],[Tméd (s)]]+Tabela4[[#This Row],[Coef. Fadiga (s)]],"")</f>
        <v/>
      </c>
      <c r="G26" s="39" t="str">
        <f>IFERROR((Tabela4[[#This Row],[Tméd (s)]]/Tabela4[[#This Row],[Tméd ajustado (s)]]-1)*-1,"")</f>
        <v/>
      </c>
    </row>
    <row r="27" spans="1:7" x14ac:dyDescent="0.25">
      <c r="A27" s="28"/>
      <c r="B27" s="29"/>
      <c r="C27" s="34" t="str">
        <f>IF(Tabela4[[#This Row],[Nome da operação]]&lt;&gt;"",COUNTIF(Tabela1[ID],Tabela4[[#This Row],[Operador]]),"")</f>
        <v/>
      </c>
      <c r="D27" s="31" t="str">
        <f>IF(Tabela4[[#This Row],[Nome da operação]]&lt;&gt;"",SUMIF(Tabela1[Nome da operação], A27, Tabela1[Tméd ajustado (s)]),"")</f>
        <v/>
      </c>
      <c r="E27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27" s="31" t="str">
        <f>IF(Tabela4[[#This Row],[Nome da operação]]&lt;&gt;"",Tabela4[[#This Row],[Tméd (s)]]+Tabela4[[#This Row],[Coef. Fadiga (s)]],"")</f>
        <v/>
      </c>
      <c r="G27" s="39" t="str">
        <f>IFERROR((Tabela4[[#This Row],[Tméd (s)]]/Tabela4[[#This Row],[Tméd ajustado (s)]]-1)*-1,"")</f>
        <v/>
      </c>
    </row>
    <row r="28" spans="1:7" x14ac:dyDescent="0.25">
      <c r="A28" s="28"/>
      <c r="B28" s="29"/>
      <c r="C28" s="34" t="str">
        <f>IF(Tabela4[[#This Row],[Nome da operação]]&lt;&gt;"",COUNTIF(Tabela1[ID],Tabela4[[#This Row],[Operador]]),"")</f>
        <v/>
      </c>
      <c r="D28" s="31" t="str">
        <f>IF(Tabela4[[#This Row],[Nome da operação]]&lt;&gt;"",SUMIF(Tabela1[Nome da operação], A28, Tabela1[Tméd ajustado (s)]),"")</f>
        <v/>
      </c>
      <c r="E28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28" s="31" t="str">
        <f>IF(Tabela4[[#This Row],[Nome da operação]]&lt;&gt;"",Tabela4[[#This Row],[Tméd (s)]]+Tabela4[[#This Row],[Coef. Fadiga (s)]],"")</f>
        <v/>
      </c>
      <c r="G28" s="39" t="str">
        <f>IFERROR((Tabela4[[#This Row],[Tméd (s)]]/Tabela4[[#This Row],[Tméd ajustado (s)]]-1)*-1,"")</f>
        <v/>
      </c>
    </row>
    <row r="29" spans="1:7" x14ac:dyDescent="0.25">
      <c r="A29" s="28"/>
      <c r="B29" s="29"/>
      <c r="C29" s="34" t="str">
        <f>IF(Tabela4[[#This Row],[Nome da operação]]&lt;&gt;"",COUNTIF(Tabela1[ID],Tabela4[[#This Row],[Operador]]),"")</f>
        <v/>
      </c>
      <c r="D29" s="31" t="str">
        <f>IF(Tabela4[[#This Row],[Nome da operação]]&lt;&gt;"",SUMIF(Tabela1[Nome da operação], A29, Tabela1[Tméd ajustado (s)]),"")</f>
        <v/>
      </c>
      <c r="E29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29" s="31" t="str">
        <f>IF(Tabela4[[#This Row],[Nome da operação]]&lt;&gt;"",Tabela4[[#This Row],[Tméd (s)]]+Tabela4[[#This Row],[Coef. Fadiga (s)]],"")</f>
        <v/>
      </c>
      <c r="G29" s="39" t="str">
        <f>IFERROR((Tabela4[[#This Row],[Tméd (s)]]/Tabela4[[#This Row],[Tméd ajustado (s)]]-1)*-1,"")</f>
        <v/>
      </c>
    </row>
    <row r="30" spans="1:7" x14ac:dyDescent="0.25">
      <c r="A30" s="28"/>
      <c r="B30" s="29"/>
      <c r="C30" s="34" t="str">
        <f>IF(Tabela4[[#This Row],[Nome da operação]]&lt;&gt;"",COUNTIF(Tabela1[ID],Tabela4[[#This Row],[Operador]]),"")</f>
        <v/>
      </c>
      <c r="D30" s="31" t="str">
        <f>IF(Tabela4[[#This Row],[Nome da operação]]&lt;&gt;"",SUMIF(Tabela1[Nome da operação], A30, Tabela1[Tméd ajustado (s)]),"")</f>
        <v/>
      </c>
      <c r="E30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30" s="31" t="str">
        <f>IF(Tabela4[[#This Row],[Nome da operação]]&lt;&gt;"",Tabela4[[#This Row],[Tméd (s)]]+Tabela4[[#This Row],[Coef. Fadiga (s)]],"")</f>
        <v/>
      </c>
      <c r="G30" s="39" t="str">
        <f>IFERROR((Tabela4[[#This Row],[Tméd (s)]]/Tabela4[[#This Row],[Tméd ajustado (s)]]-1)*-1,"")</f>
        <v/>
      </c>
    </row>
    <row r="31" spans="1:7" x14ac:dyDescent="0.25">
      <c r="A31" s="28"/>
      <c r="B31" s="29"/>
      <c r="C31" s="34" t="str">
        <f>IF(Tabela4[[#This Row],[Nome da operação]]&lt;&gt;"",COUNTIF(Tabela1[ID],Tabela4[[#This Row],[Operador]]),"")</f>
        <v/>
      </c>
      <c r="D31" s="31" t="str">
        <f>IF(Tabela4[[#This Row],[Nome da operação]]&lt;&gt;"",SUMIF(Tabela1[Nome da operação], A31, Tabela1[Tméd ajustado (s)]),"")</f>
        <v/>
      </c>
      <c r="E31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31" s="31" t="str">
        <f>IF(Tabela4[[#This Row],[Nome da operação]]&lt;&gt;"",Tabela4[[#This Row],[Tméd (s)]]+Tabela4[[#This Row],[Coef. Fadiga (s)]],"")</f>
        <v/>
      </c>
      <c r="G31" s="39" t="str">
        <f>IFERROR((Tabela4[[#This Row],[Tméd (s)]]/Tabela4[[#This Row],[Tméd ajustado (s)]]-1)*-1,"")</f>
        <v/>
      </c>
    </row>
    <row r="32" spans="1:7" x14ac:dyDescent="0.25">
      <c r="A32" s="28"/>
      <c r="B32" s="29"/>
      <c r="C32" s="34" t="str">
        <f>IF(Tabela4[[#This Row],[Nome da operação]]&lt;&gt;"",COUNTIF(Tabela1[ID],Tabela4[[#This Row],[Operador]]),"")</f>
        <v/>
      </c>
      <c r="D32" s="31" t="str">
        <f>IF(Tabela4[[#This Row],[Nome da operação]]&lt;&gt;"",SUMIF(Tabela1[Nome da operação], A32, Tabela1[Tméd ajustado (s)]),"")</f>
        <v/>
      </c>
      <c r="E32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32" s="31" t="str">
        <f>IF(Tabela4[[#This Row],[Nome da operação]]&lt;&gt;"",Tabela4[[#This Row],[Tméd (s)]]+Tabela4[[#This Row],[Coef. Fadiga (s)]],"")</f>
        <v/>
      </c>
      <c r="G32" s="39" t="str">
        <f>IFERROR((Tabela4[[#This Row],[Tméd (s)]]/Tabela4[[#This Row],[Tméd ajustado (s)]]-1)*-1,"")</f>
        <v/>
      </c>
    </row>
    <row r="33" spans="1:7" x14ac:dyDescent="0.25">
      <c r="A33" s="28"/>
      <c r="B33" s="29"/>
      <c r="C33" s="34" t="str">
        <f>IF(Tabela4[[#This Row],[Nome da operação]]&lt;&gt;"",COUNTIF(Tabela1[ID],Tabela4[[#This Row],[Operador]]),"")</f>
        <v/>
      </c>
      <c r="D33" s="31" t="str">
        <f>IF(Tabela4[[#This Row],[Nome da operação]]&lt;&gt;"",SUMIF(Tabela1[Nome da operação], A33, Tabela1[Tméd ajustado (s)]),"")</f>
        <v/>
      </c>
      <c r="E33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33" s="31" t="str">
        <f>IF(Tabela4[[#This Row],[Nome da operação]]&lt;&gt;"",Tabela4[[#This Row],[Tméd (s)]]+Tabela4[[#This Row],[Coef. Fadiga (s)]],"")</f>
        <v/>
      </c>
      <c r="G33" s="39" t="str">
        <f>IFERROR((Tabela4[[#This Row],[Tméd (s)]]/Tabela4[[#This Row],[Tméd ajustado (s)]]-1)*-1,"")</f>
        <v/>
      </c>
    </row>
    <row r="34" spans="1:7" x14ac:dyDescent="0.25">
      <c r="A34" s="28"/>
      <c r="B34" s="29"/>
      <c r="C34" s="34" t="str">
        <f>IF(Tabela4[[#This Row],[Nome da operação]]&lt;&gt;"",COUNTIF(Tabela1[ID],Tabela4[[#This Row],[Operador]]),"")</f>
        <v/>
      </c>
      <c r="D34" s="31" t="str">
        <f>IF(Tabela4[[#This Row],[Nome da operação]]&lt;&gt;"",SUMIF(Tabela1[Nome da operação], A34, Tabela1[Tméd ajustado (s)]),"")</f>
        <v/>
      </c>
      <c r="E34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34" s="31" t="str">
        <f>IF(Tabela4[[#This Row],[Nome da operação]]&lt;&gt;"",Tabela4[[#This Row],[Tméd (s)]]+Tabela4[[#This Row],[Coef. Fadiga (s)]],"")</f>
        <v/>
      </c>
      <c r="G34" s="39" t="str">
        <f>IFERROR((Tabela4[[#This Row],[Tméd (s)]]/Tabela4[[#This Row],[Tméd ajustado (s)]]-1)*-1,"")</f>
        <v/>
      </c>
    </row>
    <row r="35" spans="1:7" x14ac:dyDescent="0.25">
      <c r="A35" s="28"/>
      <c r="B35" s="29"/>
      <c r="C35" s="34" t="str">
        <f>IF(Tabela4[[#This Row],[Nome da operação]]&lt;&gt;"",COUNTIF(Tabela1[ID],Tabela4[[#This Row],[Operador]]),"")</f>
        <v/>
      </c>
      <c r="D35" s="31" t="str">
        <f>IF(Tabela4[[#This Row],[Nome da operação]]&lt;&gt;"",SUMIF(Tabela1[Nome da operação], A35, Tabela1[Tméd ajustado (s)]),"")</f>
        <v/>
      </c>
      <c r="E35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35" s="31" t="str">
        <f>IF(Tabela4[[#This Row],[Nome da operação]]&lt;&gt;"",Tabela4[[#This Row],[Tméd (s)]]+Tabela4[[#This Row],[Coef. Fadiga (s)]],"")</f>
        <v/>
      </c>
      <c r="G35" s="39" t="str">
        <f>IFERROR((Tabela4[[#This Row],[Tméd (s)]]/Tabela4[[#This Row],[Tméd ajustado (s)]]-1)*-1,"")</f>
        <v/>
      </c>
    </row>
    <row r="36" spans="1:7" x14ac:dyDescent="0.25">
      <c r="A36" s="28"/>
      <c r="B36" s="29"/>
      <c r="C36" s="34" t="str">
        <f>IF(Tabela4[[#This Row],[Nome da operação]]&lt;&gt;"",COUNTIF(Tabela1[ID],Tabela4[[#This Row],[Operador]]),"")</f>
        <v/>
      </c>
      <c r="D36" s="31" t="str">
        <f>IF(Tabela4[[#This Row],[Nome da operação]]&lt;&gt;"",SUMIF(Tabela1[Nome da operação], A36, Tabela1[Tméd ajustado (s)]),"")</f>
        <v/>
      </c>
      <c r="E36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36" s="31" t="str">
        <f>IF(Tabela4[[#This Row],[Nome da operação]]&lt;&gt;"",Tabela4[[#This Row],[Tméd (s)]]+Tabela4[[#This Row],[Coef. Fadiga (s)]],"")</f>
        <v/>
      </c>
      <c r="G36" s="39" t="str">
        <f>IFERROR((Tabela4[[#This Row],[Tméd (s)]]/Tabela4[[#This Row],[Tméd ajustado (s)]]-1)*-1,"")</f>
        <v/>
      </c>
    </row>
    <row r="37" spans="1:7" x14ac:dyDescent="0.25">
      <c r="A37" s="28"/>
      <c r="B37" s="29"/>
      <c r="C37" s="34" t="str">
        <f>IF(Tabela4[[#This Row],[Nome da operação]]&lt;&gt;"",COUNTIF(Tabela1[ID],Tabela4[[#This Row],[Operador]]),"")</f>
        <v/>
      </c>
      <c r="D37" s="31" t="str">
        <f>IF(Tabela4[[#This Row],[Nome da operação]]&lt;&gt;"",SUMIF(Tabela1[Nome da operação], A37, Tabela1[Tméd ajustado (s)]),"")</f>
        <v/>
      </c>
      <c r="E37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37" s="31" t="str">
        <f>IF(Tabela4[[#This Row],[Nome da operação]]&lt;&gt;"",Tabela4[[#This Row],[Tméd (s)]]+Tabela4[[#This Row],[Coef. Fadiga (s)]],"")</f>
        <v/>
      </c>
      <c r="G37" s="39" t="str">
        <f>IFERROR((Tabela4[[#This Row],[Tméd (s)]]/Tabela4[[#This Row],[Tméd ajustado (s)]]-1)*-1,"")</f>
        <v/>
      </c>
    </row>
    <row r="38" spans="1:7" x14ac:dyDescent="0.25">
      <c r="A38" s="28"/>
      <c r="B38" s="29"/>
      <c r="C38" s="34" t="str">
        <f>IF(Tabela4[[#This Row],[Nome da operação]]&lt;&gt;"",COUNTIF(Tabela1[ID],Tabela4[[#This Row],[Operador]]),"")</f>
        <v/>
      </c>
      <c r="D38" s="31" t="str">
        <f>IF(Tabela4[[#This Row],[Nome da operação]]&lt;&gt;"",SUMIF(Tabela1[Nome da operação], A38, Tabela1[Tméd ajustado (s)]),"")</f>
        <v/>
      </c>
      <c r="E38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38" s="31" t="str">
        <f>IF(Tabela4[[#This Row],[Nome da operação]]&lt;&gt;"",Tabela4[[#This Row],[Tméd (s)]]+Tabela4[[#This Row],[Coef. Fadiga (s)]],"")</f>
        <v/>
      </c>
      <c r="G38" s="39" t="str">
        <f>IFERROR((Tabela4[[#This Row],[Tméd (s)]]/Tabela4[[#This Row],[Tméd ajustado (s)]]-1)*-1,"")</f>
        <v/>
      </c>
    </row>
    <row r="39" spans="1:7" x14ac:dyDescent="0.25">
      <c r="A39" s="28"/>
      <c r="B39" s="29"/>
      <c r="C39" s="34" t="str">
        <f>IF(Tabela4[[#This Row],[Nome da operação]]&lt;&gt;"",COUNTIF(Tabela1[ID],Tabela4[[#This Row],[Operador]]),"")</f>
        <v/>
      </c>
      <c r="D39" s="31" t="str">
        <f>IF(Tabela4[[#This Row],[Nome da operação]]&lt;&gt;"",SUMIF(Tabela1[Nome da operação], A39, Tabela1[Tméd ajustado (s)]),"")</f>
        <v/>
      </c>
      <c r="E39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39" s="31" t="str">
        <f>IF(Tabela4[[#This Row],[Nome da operação]]&lt;&gt;"",Tabela4[[#This Row],[Tméd (s)]]+Tabela4[[#This Row],[Coef. Fadiga (s)]],"")</f>
        <v/>
      </c>
      <c r="G39" s="39" t="str">
        <f>IFERROR((Tabela4[[#This Row],[Tméd (s)]]/Tabela4[[#This Row],[Tméd ajustado (s)]]-1)*-1,"")</f>
        <v/>
      </c>
    </row>
    <row r="40" spans="1:7" x14ac:dyDescent="0.25">
      <c r="A40" s="28"/>
      <c r="B40" s="29"/>
      <c r="C40" s="34" t="str">
        <f>IF(Tabela4[[#This Row],[Nome da operação]]&lt;&gt;"",COUNTIF(Tabela1[ID],Tabela4[[#This Row],[Operador]]),"")</f>
        <v/>
      </c>
      <c r="D40" s="31" t="str">
        <f>IF(Tabela4[[#This Row],[Nome da operação]]&lt;&gt;"",SUMIF(Tabela1[Nome da operação], A40, Tabela1[Tméd ajustado (s)]),"")</f>
        <v/>
      </c>
      <c r="E40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40" s="31" t="str">
        <f>IF(Tabela4[[#This Row],[Nome da operação]]&lt;&gt;"",Tabela4[[#This Row],[Tméd (s)]]+Tabela4[[#This Row],[Coef. Fadiga (s)]],"")</f>
        <v/>
      </c>
      <c r="G40" s="39" t="str">
        <f>IFERROR((Tabela4[[#This Row],[Tméd (s)]]/Tabela4[[#This Row],[Tméd ajustado (s)]]-1)*-1,"")</f>
        <v/>
      </c>
    </row>
    <row r="41" spans="1:7" x14ac:dyDescent="0.25">
      <c r="A41" s="28"/>
      <c r="B41" s="29"/>
      <c r="C41" s="34" t="str">
        <f>IF(Tabela4[[#This Row],[Nome da operação]]&lt;&gt;"",COUNTIF(Tabela1[ID],Tabela4[[#This Row],[Operador]]),"")</f>
        <v/>
      </c>
      <c r="D41" s="31" t="str">
        <f>IF(Tabela4[[#This Row],[Nome da operação]]&lt;&gt;"",SUMIF(Tabela1[Nome da operação], A41, Tabela1[Tméd ajustado (s)]),"")</f>
        <v/>
      </c>
      <c r="E41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41" s="31" t="str">
        <f>IF(Tabela4[[#This Row],[Nome da operação]]&lt;&gt;"",Tabela4[[#This Row],[Tméd (s)]]+Tabela4[[#This Row],[Coef. Fadiga (s)]],"")</f>
        <v/>
      </c>
      <c r="G41" s="39" t="str">
        <f>IFERROR((Tabela4[[#This Row],[Tméd (s)]]/Tabela4[[#This Row],[Tméd ajustado (s)]]-1)*-1,"")</f>
        <v/>
      </c>
    </row>
    <row r="42" spans="1:7" x14ac:dyDescent="0.25">
      <c r="A42" s="28"/>
      <c r="B42" s="29"/>
      <c r="C42" s="34" t="str">
        <f>IF(Tabela4[[#This Row],[Nome da operação]]&lt;&gt;"",COUNTIF(Tabela1[ID],Tabela4[[#This Row],[Operador]]),"")</f>
        <v/>
      </c>
      <c r="D42" s="31" t="str">
        <f>IF(Tabela4[[#This Row],[Nome da operação]]&lt;&gt;"",SUMIF(Tabela1[Nome da operação], A42, Tabela1[Tméd ajustado (s)]),"")</f>
        <v/>
      </c>
      <c r="E42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42" s="31" t="str">
        <f>IF(Tabela4[[#This Row],[Nome da operação]]&lt;&gt;"",Tabela4[[#This Row],[Tméd (s)]]+Tabela4[[#This Row],[Coef. Fadiga (s)]],"")</f>
        <v/>
      </c>
      <c r="G42" s="39" t="str">
        <f>IFERROR((Tabela4[[#This Row],[Tméd (s)]]/Tabela4[[#This Row],[Tméd ajustado (s)]]-1)*-1,"")</f>
        <v/>
      </c>
    </row>
    <row r="43" spans="1:7" x14ac:dyDescent="0.25">
      <c r="A43" s="28"/>
      <c r="B43" s="29"/>
      <c r="C43" s="34" t="str">
        <f>IF(Tabela4[[#This Row],[Nome da operação]]&lt;&gt;"",COUNTIF(Tabela1[ID],Tabela4[[#This Row],[Operador]]),"")</f>
        <v/>
      </c>
      <c r="D43" s="31" t="str">
        <f>IF(Tabela4[[#This Row],[Nome da operação]]&lt;&gt;"",SUMIF(Tabela1[Nome da operação], A43, Tabela1[Tméd ajustado (s)]),"")</f>
        <v/>
      </c>
      <c r="E43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43" s="31" t="str">
        <f>IF(Tabela4[[#This Row],[Nome da operação]]&lt;&gt;"",Tabela4[[#This Row],[Tméd (s)]]+Tabela4[[#This Row],[Coef. Fadiga (s)]],"")</f>
        <v/>
      </c>
      <c r="G43" s="39" t="str">
        <f>IFERROR((Tabela4[[#This Row],[Tméd (s)]]/Tabela4[[#This Row],[Tméd ajustado (s)]]-1)*-1,"")</f>
        <v/>
      </c>
    </row>
    <row r="44" spans="1:7" x14ac:dyDescent="0.25">
      <c r="A44" s="28"/>
      <c r="B44" s="29"/>
      <c r="C44" s="34" t="str">
        <f>IF(Tabela4[[#This Row],[Nome da operação]]&lt;&gt;"",COUNTIF(Tabela1[ID],Tabela4[[#This Row],[Operador]]),"")</f>
        <v/>
      </c>
      <c r="D44" s="31" t="str">
        <f>IF(Tabela4[[#This Row],[Nome da operação]]&lt;&gt;"",SUMIF(Tabela1[Nome da operação], A44, Tabela1[Tméd ajustado (s)]),"")</f>
        <v/>
      </c>
      <c r="E44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44" s="31" t="str">
        <f>IF(Tabela4[[#This Row],[Nome da operação]]&lt;&gt;"",Tabela4[[#This Row],[Tméd (s)]]+Tabela4[[#This Row],[Coef. Fadiga (s)]],"")</f>
        <v/>
      </c>
      <c r="G44" s="39" t="str">
        <f>IFERROR((Tabela4[[#This Row],[Tméd (s)]]/Tabela4[[#This Row],[Tméd ajustado (s)]]-1)*-1,"")</f>
        <v/>
      </c>
    </row>
    <row r="45" spans="1:7" x14ac:dyDescent="0.25">
      <c r="A45" s="28"/>
      <c r="B45" s="29"/>
      <c r="C45" s="34" t="str">
        <f>IF(Tabela4[[#This Row],[Nome da operação]]&lt;&gt;"",COUNTIF(Tabela1[ID],Tabela4[[#This Row],[Operador]]),"")</f>
        <v/>
      </c>
      <c r="D45" s="31" t="str">
        <f>IF(Tabela4[[#This Row],[Nome da operação]]&lt;&gt;"",SUMIF(Tabela1[Nome da operação], A45, Tabela1[Tméd ajustado (s)]),"")</f>
        <v/>
      </c>
      <c r="E45" s="31" t="str">
        <f>IF(Tabela4[[#This Row],[Nome da operação]]&lt;&gt;"",IF(Tabela4[[#This Row],[Movimentações]]&lt;10,Tabela4[[#This Row],[Tméd (s)]]*0.05,IF(Tabela4[[#This Row],[Movimentações]]&gt;10,Tabela4[[#This Row],[Tméd (s)]]*0.15,"ERRO")),"")</f>
        <v/>
      </c>
      <c r="F45" s="31" t="str">
        <f>IF(Tabela4[[#This Row],[Nome da operação]]&lt;&gt;"",Tabela4[[#This Row],[Tméd (s)]]+Tabela4[[#This Row],[Coef. Fadiga (s)]],"")</f>
        <v/>
      </c>
      <c r="G45" s="39" t="str">
        <f>IFERROR((Tabela4[[#This Row],[Tméd (s)]]/Tabela4[[#This Row],[Tméd ajustado (s)]]-1)*-1,"")</f>
        <v/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A1244-F416-418B-8AA9-0DE369277421}">
  <sheetPr codeName="Planilha3"/>
  <dimension ref="Z3:AC28"/>
  <sheetViews>
    <sheetView zoomScale="70" zoomScaleNormal="70" workbookViewId="0">
      <selection activeCell="P31" sqref="P31"/>
    </sheetView>
  </sheetViews>
  <sheetFormatPr defaultRowHeight="15" x14ac:dyDescent="0.25"/>
  <cols>
    <col min="15" max="15" width="38.85546875" bestFit="1" customWidth="1"/>
    <col min="26" max="26" width="38.85546875" bestFit="1" customWidth="1"/>
    <col min="27" max="27" width="11.85546875" bestFit="1" customWidth="1"/>
    <col min="28" max="28" width="11" bestFit="1" customWidth="1"/>
    <col min="29" max="29" width="11.5703125" bestFit="1" customWidth="1"/>
  </cols>
  <sheetData>
    <row r="3" spans="26:26" x14ac:dyDescent="0.25">
      <c r="Z3" t="str">
        <f>'Crono-análise de atividades'!G4 &amp; ": " &amp; TEXT('Crono-análise de atividades'!H4,0) &amp; " " &amp; 'Crono-análise de atividades'!I4</f>
        <v>Capacidade instalada (dia): 556 pç/h</v>
      </c>
    </row>
    <row r="4" spans="26:26" x14ac:dyDescent="0.25">
      <c r="Z4" t="str">
        <f>'Crono-análise de atividades'!G5 &amp; ": " &amp; TEXT('Crono-análise de atividades'!H5,"#.###") &amp; " " &amp; 'Crono-análise de atividades'!I5</f>
        <v>Capacidade instalada (dia): 11.679 pc/dia</v>
      </c>
    </row>
    <row r="6" spans="26:26" x14ac:dyDescent="0.25">
      <c r="Z6" t="str">
        <f>'Crono-análise de atividades'!D4 &amp; ": " &amp; TEXT('Crono-análise de atividades'!E4,"#,#") &amp; " " &amp; 'Crono-análise de atividades'!F4</f>
        <v>Takt Time: 8,2 seg</v>
      </c>
    </row>
    <row r="7" spans="26:26" x14ac:dyDescent="0.25">
      <c r="Z7" t="str">
        <f>'Crono-análise de atividades'!D5 &amp; ": " &amp; TEXT('Crono-análise de atividades'!E5,"#,#") &amp; " " &amp; 'Crono-análise de atividades'!F5</f>
        <v>LeadTime: 29, seg</v>
      </c>
    </row>
    <row r="8" spans="26:26" x14ac:dyDescent="0.25">
      <c r="Z8" t="str">
        <f>'Crono-análise de atividades'!D6 &amp; ": " &amp; TEXT('Crono-análise de atividades'!E6,"#,#") &amp; " " &amp; 'Crono-análise de atividades'!F6</f>
        <v xml:space="preserve">N° de postos : 3,5 postos </v>
      </c>
    </row>
    <row r="9" spans="26:26" x14ac:dyDescent="0.25">
      <c r="Z9" t="str">
        <f>'Crono-análise de atividades'!D7 &amp; ": " &amp; TEXT('Crono-análise de atividades'!E7,"#") &amp; " " &amp; 'Crono-análise de atividades'!F7</f>
        <v xml:space="preserve">N° real de postos : 4 postos </v>
      </c>
    </row>
    <row r="11" spans="26:26" x14ac:dyDescent="0.25">
      <c r="Z11" t="str">
        <f>'Crono-análise de atividades'!AJ1 &amp; ": " &amp; TEXT('Crono-análise de atividades'!AK1,"#,#") &amp; " " &amp; 'Crono-análise de atividades'!AL1</f>
        <v>Gargalo: 6,5 seg</v>
      </c>
    </row>
    <row r="12" spans="26:26" x14ac:dyDescent="0.25">
      <c r="Z12" t="str">
        <f>'Crono-análise de atividades'!AJ3 &amp; ": " &amp; TEXT('Crono-análise de atividades'!AK3,"#,#") &amp; " " &amp; 'Crono-análise de atividades'!AL3</f>
        <v xml:space="preserve">N° de postos : 4,5 postos </v>
      </c>
    </row>
    <row r="13" spans="26:26" x14ac:dyDescent="0.25">
      <c r="Z13" t="str">
        <f>'Crono-análise de atividades'!AJ4 &amp; ": " &amp; TEXT('Crono-análise de atividades'!AK4,"#") &amp; " " &amp; 'Crono-análise de atividades'!AL4</f>
        <v xml:space="preserve">N° real de postos : 5 postos </v>
      </c>
    </row>
    <row r="16" spans="26:26" x14ac:dyDescent="0.25">
      <c r="Z16" t="s">
        <v>59</v>
      </c>
    </row>
    <row r="17" spans="26:29" x14ac:dyDescent="0.25">
      <c r="Z17" t="s">
        <v>28</v>
      </c>
      <c r="AA17" s="41"/>
      <c r="AB17" s="41"/>
      <c r="AC17" s="41"/>
    </row>
    <row r="18" spans="26:29" x14ac:dyDescent="0.25">
      <c r="Z18" t="s">
        <v>29</v>
      </c>
      <c r="AA18" s="41"/>
      <c r="AB18" s="41"/>
      <c r="AC18" s="41"/>
    </row>
    <row r="19" spans="26:29" x14ac:dyDescent="0.25">
      <c r="Z19" t="s">
        <v>30</v>
      </c>
      <c r="AA19" s="41"/>
      <c r="AB19" s="41"/>
      <c r="AC19" s="41"/>
    </row>
    <row r="20" spans="26:29" x14ac:dyDescent="0.25">
      <c r="Z20" t="s">
        <v>31</v>
      </c>
      <c r="AA20" s="41"/>
      <c r="AB20" s="41"/>
      <c r="AC20" s="41"/>
    </row>
    <row r="21" spans="26:29" x14ac:dyDescent="0.25">
      <c r="Z21" t="s">
        <v>32</v>
      </c>
      <c r="AA21" s="41"/>
      <c r="AB21" s="41"/>
      <c r="AC21" s="41"/>
    </row>
    <row r="22" spans="26:29" x14ac:dyDescent="0.25">
      <c r="Z22" t="s">
        <v>33</v>
      </c>
      <c r="AA22" s="41"/>
      <c r="AB22" s="41"/>
      <c r="AC22" s="41"/>
    </row>
    <row r="24" spans="26:29" x14ac:dyDescent="0.25">
      <c r="AA24" s="42"/>
      <c r="AB24" s="42"/>
      <c r="AC24" s="42"/>
    </row>
    <row r="26" spans="26:29" x14ac:dyDescent="0.25">
      <c r="Z26" t="s">
        <v>124</v>
      </c>
      <c r="AA26" s="41"/>
    </row>
    <row r="27" spans="26:29" x14ac:dyDescent="0.25">
      <c r="Z27" t="s">
        <v>126</v>
      </c>
      <c r="AA27" s="41"/>
    </row>
    <row r="28" spans="26:29" x14ac:dyDescent="0.25">
      <c r="Z28" t="s">
        <v>125</v>
      </c>
      <c r="AA28" s="41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AF6B4-B45A-477F-A205-5673E5379089}">
  <dimension ref="A3:C54"/>
  <sheetViews>
    <sheetView workbookViewId="0">
      <selection activeCell="A14" sqref="A14"/>
    </sheetView>
  </sheetViews>
  <sheetFormatPr defaultRowHeight="15" x14ac:dyDescent="0.25"/>
  <cols>
    <col min="1" max="1" width="83.85546875" bestFit="1" customWidth="1"/>
    <col min="2" max="2" width="22.28515625" bestFit="1" customWidth="1"/>
    <col min="3" max="3" width="25.7109375" bestFit="1" customWidth="1"/>
  </cols>
  <sheetData>
    <row r="3" spans="1:3" x14ac:dyDescent="0.25">
      <c r="A3" s="48" t="s">
        <v>141</v>
      </c>
      <c r="B3" t="s">
        <v>144</v>
      </c>
      <c r="C3" t="s">
        <v>143</v>
      </c>
    </row>
    <row r="4" spans="1:3" x14ac:dyDescent="0.25">
      <c r="A4" s="49" t="s">
        <v>28</v>
      </c>
      <c r="B4">
        <v>6</v>
      </c>
      <c r="C4" s="20">
        <v>6.165</v>
      </c>
    </row>
    <row r="5" spans="1:3" x14ac:dyDescent="0.25">
      <c r="A5" s="50" t="s">
        <v>79</v>
      </c>
      <c r="B5">
        <v>1</v>
      </c>
      <c r="C5" s="20">
        <v>0.46500000000000008</v>
      </c>
    </row>
    <row r="6" spans="1:3" x14ac:dyDescent="0.25">
      <c r="A6" s="50" t="s">
        <v>81</v>
      </c>
      <c r="B6">
        <v>1</v>
      </c>
      <c r="C6" s="20">
        <v>0.5</v>
      </c>
    </row>
    <row r="7" spans="1:3" x14ac:dyDescent="0.25">
      <c r="A7" s="50" t="s">
        <v>78</v>
      </c>
      <c r="B7">
        <v>1</v>
      </c>
      <c r="C7" s="20">
        <v>0.78499999999999992</v>
      </c>
    </row>
    <row r="8" spans="1:3" x14ac:dyDescent="0.25">
      <c r="A8" s="50" t="s">
        <v>77</v>
      </c>
      <c r="B8">
        <v>1</v>
      </c>
      <c r="C8" s="20">
        <v>1.65</v>
      </c>
    </row>
    <row r="9" spans="1:3" x14ac:dyDescent="0.25">
      <c r="A9" s="50" t="s">
        <v>82</v>
      </c>
      <c r="B9">
        <v>1</v>
      </c>
      <c r="C9" s="20">
        <v>1.85</v>
      </c>
    </row>
    <row r="10" spans="1:3" x14ac:dyDescent="0.25">
      <c r="A10" s="50" t="s">
        <v>80</v>
      </c>
      <c r="B10">
        <v>1</v>
      </c>
      <c r="C10" s="20">
        <v>0.91499999999999992</v>
      </c>
    </row>
    <row r="11" spans="1:3" x14ac:dyDescent="0.25">
      <c r="A11" s="49" t="s">
        <v>29</v>
      </c>
      <c r="B11">
        <v>7</v>
      </c>
      <c r="C11" s="20">
        <v>6.1799999999999988</v>
      </c>
    </row>
    <row r="12" spans="1:3" x14ac:dyDescent="0.25">
      <c r="A12" s="50" t="s">
        <v>139</v>
      </c>
      <c r="B12">
        <v>1</v>
      </c>
      <c r="C12" s="20">
        <v>0.8</v>
      </c>
    </row>
    <row r="13" spans="1:3" x14ac:dyDescent="0.25">
      <c r="A13" s="50" t="s">
        <v>140</v>
      </c>
      <c r="B13">
        <v>1</v>
      </c>
      <c r="C13" s="20">
        <v>0.8</v>
      </c>
    </row>
    <row r="14" spans="1:3" x14ac:dyDescent="0.25">
      <c r="A14" s="50" t="s">
        <v>87</v>
      </c>
      <c r="B14">
        <v>1</v>
      </c>
      <c r="C14" s="20">
        <v>1.5999999999999996</v>
      </c>
    </row>
    <row r="15" spans="1:3" x14ac:dyDescent="0.25">
      <c r="A15" s="50" t="s">
        <v>88</v>
      </c>
      <c r="B15">
        <v>1</v>
      </c>
      <c r="C15" s="20">
        <v>0.57000000000000006</v>
      </c>
    </row>
    <row r="16" spans="1:3" x14ac:dyDescent="0.25">
      <c r="A16" s="50" t="s">
        <v>145</v>
      </c>
      <c r="B16">
        <v>1</v>
      </c>
      <c r="C16" s="20">
        <v>1.0699999999999996</v>
      </c>
    </row>
    <row r="17" spans="1:3" x14ac:dyDescent="0.25">
      <c r="A17" s="50" t="s">
        <v>146</v>
      </c>
      <c r="B17">
        <v>1</v>
      </c>
      <c r="C17" s="20">
        <v>0.66999999999999982</v>
      </c>
    </row>
    <row r="18" spans="1:3" x14ac:dyDescent="0.25">
      <c r="A18" s="50" t="s">
        <v>147</v>
      </c>
      <c r="B18">
        <v>1</v>
      </c>
      <c r="C18" s="20">
        <v>0.67000000000000026</v>
      </c>
    </row>
    <row r="19" spans="1:3" x14ac:dyDescent="0.25">
      <c r="A19" s="49" t="s">
        <v>30</v>
      </c>
      <c r="B19">
        <v>4</v>
      </c>
      <c r="C19" s="20">
        <v>3.5928333333333331</v>
      </c>
    </row>
    <row r="20" spans="1:3" x14ac:dyDescent="0.25">
      <c r="A20" s="50" t="s">
        <v>94</v>
      </c>
      <c r="B20">
        <v>1</v>
      </c>
      <c r="C20" s="20">
        <v>1.2</v>
      </c>
    </row>
    <row r="21" spans="1:3" x14ac:dyDescent="0.25">
      <c r="A21" s="50" t="s">
        <v>92</v>
      </c>
      <c r="B21">
        <v>1</v>
      </c>
      <c r="C21" s="20">
        <v>1.3892500000000001</v>
      </c>
    </row>
    <row r="22" spans="1:3" x14ac:dyDescent="0.25">
      <c r="A22" s="50" t="s">
        <v>90</v>
      </c>
      <c r="B22">
        <v>1</v>
      </c>
      <c r="C22" s="20">
        <v>0.93025000000000024</v>
      </c>
    </row>
    <row r="23" spans="1:3" x14ac:dyDescent="0.25">
      <c r="A23" s="50" t="s">
        <v>93</v>
      </c>
      <c r="B23">
        <v>1</v>
      </c>
      <c r="C23" s="20">
        <v>7.3333333333333334E-2</v>
      </c>
    </row>
    <row r="24" spans="1:3" x14ac:dyDescent="0.25">
      <c r="A24" s="49" t="s">
        <v>31</v>
      </c>
      <c r="B24">
        <v>7</v>
      </c>
      <c r="C24" s="20">
        <v>7.4634999999999998</v>
      </c>
    </row>
    <row r="25" spans="1:3" x14ac:dyDescent="0.25">
      <c r="A25" s="50" t="s">
        <v>101</v>
      </c>
      <c r="B25">
        <v>1</v>
      </c>
      <c r="C25" s="20">
        <v>1.2</v>
      </c>
    </row>
    <row r="26" spans="1:3" x14ac:dyDescent="0.25">
      <c r="A26" s="50" t="s">
        <v>100</v>
      </c>
      <c r="B26">
        <v>1</v>
      </c>
      <c r="C26" s="20">
        <v>0.6</v>
      </c>
    </row>
    <row r="27" spans="1:3" x14ac:dyDescent="0.25">
      <c r="A27" s="50" t="s">
        <v>99</v>
      </c>
      <c r="B27">
        <v>1</v>
      </c>
      <c r="C27" s="20">
        <v>1.2892499999999998</v>
      </c>
    </row>
    <row r="28" spans="1:3" x14ac:dyDescent="0.25">
      <c r="A28" s="50" t="s">
        <v>98</v>
      </c>
      <c r="B28">
        <v>1</v>
      </c>
      <c r="C28" s="20">
        <v>0.53262500000000013</v>
      </c>
    </row>
    <row r="29" spans="1:3" x14ac:dyDescent="0.25">
      <c r="A29" s="50" t="s">
        <v>97</v>
      </c>
      <c r="B29">
        <v>1</v>
      </c>
      <c r="C29" s="20">
        <v>1.9376249999999997</v>
      </c>
    </row>
    <row r="30" spans="1:3" x14ac:dyDescent="0.25">
      <c r="A30" s="50" t="s">
        <v>95</v>
      </c>
      <c r="B30">
        <v>1</v>
      </c>
      <c r="C30" s="20">
        <v>0.88687499999999997</v>
      </c>
    </row>
    <row r="31" spans="1:3" x14ac:dyDescent="0.25">
      <c r="A31" s="50" t="s">
        <v>96</v>
      </c>
      <c r="B31">
        <v>1</v>
      </c>
      <c r="C31" s="20">
        <v>1.0171249999999998</v>
      </c>
    </row>
    <row r="32" spans="1:3" x14ac:dyDescent="0.25">
      <c r="A32" s="49" t="s">
        <v>32</v>
      </c>
      <c r="B32">
        <v>22</v>
      </c>
      <c r="C32" s="20">
        <v>5.589657323779206</v>
      </c>
    </row>
    <row r="33" spans="1:3" x14ac:dyDescent="0.25">
      <c r="A33" s="50" t="s">
        <v>111</v>
      </c>
      <c r="B33">
        <v>1</v>
      </c>
      <c r="C33" s="20">
        <v>0.88888888888888884</v>
      </c>
    </row>
    <row r="34" spans="1:3" x14ac:dyDescent="0.25">
      <c r="A34" s="50" t="s">
        <v>120</v>
      </c>
      <c r="B34">
        <v>1</v>
      </c>
      <c r="C34" s="20">
        <v>0.95043510155698474</v>
      </c>
    </row>
    <row r="35" spans="1:3" x14ac:dyDescent="0.25">
      <c r="A35" s="50" t="s">
        <v>105</v>
      </c>
      <c r="B35">
        <v>1</v>
      </c>
      <c r="C35" s="20">
        <v>5.7222222222222223E-2</v>
      </c>
    </row>
    <row r="36" spans="1:3" x14ac:dyDescent="0.25">
      <c r="A36" s="50" t="s">
        <v>122</v>
      </c>
      <c r="B36">
        <v>1</v>
      </c>
      <c r="C36" s="20">
        <v>0.27860000000000001</v>
      </c>
    </row>
    <row r="37" spans="1:3" x14ac:dyDescent="0.25">
      <c r="A37" s="50" t="s">
        <v>106</v>
      </c>
      <c r="B37">
        <v>1</v>
      </c>
      <c r="C37" s="20">
        <v>0.1</v>
      </c>
    </row>
    <row r="38" spans="1:3" x14ac:dyDescent="0.25">
      <c r="A38" s="50" t="s">
        <v>112</v>
      </c>
      <c r="B38">
        <v>1</v>
      </c>
      <c r="C38" s="20">
        <v>0.13722222222222225</v>
      </c>
    </row>
    <row r="39" spans="1:3" x14ac:dyDescent="0.25">
      <c r="A39" s="50" t="s">
        <v>114</v>
      </c>
      <c r="B39">
        <v>1</v>
      </c>
      <c r="C39" s="20">
        <v>5.9444444444444446E-2</v>
      </c>
    </row>
    <row r="40" spans="1:3" x14ac:dyDescent="0.25">
      <c r="A40" s="50" t="s">
        <v>108</v>
      </c>
      <c r="B40">
        <v>1</v>
      </c>
      <c r="C40" s="20">
        <v>8.1666666666666665E-2</v>
      </c>
    </row>
    <row r="41" spans="1:3" x14ac:dyDescent="0.25">
      <c r="A41" s="50" t="s">
        <v>110</v>
      </c>
      <c r="B41">
        <v>2</v>
      </c>
      <c r="C41" s="20">
        <v>0.10166666666666666</v>
      </c>
    </row>
    <row r="42" spans="1:3" x14ac:dyDescent="0.25">
      <c r="A42" s="50" t="s">
        <v>136</v>
      </c>
      <c r="B42">
        <v>1</v>
      </c>
      <c r="C42" s="20">
        <v>0.4</v>
      </c>
    </row>
    <row r="43" spans="1:3" x14ac:dyDescent="0.25">
      <c r="A43" s="50" t="s">
        <v>118</v>
      </c>
      <c r="B43">
        <v>1</v>
      </c>
      <c r="C43" s="20">
        <v>5.8888888888888893E-2</v>
      </c>
    </row>
    <row r="44" spans="1:3" x14ac:dyDescent="0.25">
      <c r="A44" s="50" t="s">
        <v>119</v>
      </c>
      <c r="B44">
        <v>1</v>
      </c>
      <c r="C44" s="20">
        <v>1.3333333333333333</v>
      </c>
    </row>
    <row r="45" spans="1:3" x14ac:dyDescent="0.25">
      <c r="A45" s="50" t="s">
        <v>104</v>
      </c>
      <c r="B45">
        <v>1</v>
      </c>
      <c r="C45" s="20">
        <v>0.05</v>
      </c>
    </row>
    <row r="46" spans="1:3" x14ac:dyDescent="0.25">
      <c r="A46" s="50" t="s">
        <v>116</v>
      </c>
      <c r="B46">
        <v>1</v>
      </c>
      <c r="C46" s="20">
        <v>0.27055555555555555</v>
      </c>
    </row>
    <row r="47" spans="1:3" x14ac:dyDescent="0.25">
      <c r="A47" s="50" t="s">
        <v>107</v>
      </c>
      <c r="B47">
        <v>1</v>
      </c>
      <c r="C47" s="20">
        <v>4.0555555555555553E-2</v>
      </c>
    </row>
    <row r="48" spans="1:3" x14ac:dyDescent="0.25">
      <c r="A48" s="50" t="s">
        <v>113</v>
      </c>
      <c r="B48">
        <v>1</v>
      </c>
      <c r="C48" s="20">
        <v>6.6666666666666666E-2</v>
      </c>
    </row>
    <row r="49" spans="1:3" x14ac:dyDescent="0.25">
      <c r="A49" s="50" t="s">
        <v>117</v>
      </c>
      <c r="B49">
        <v>1</v>
      </c>
      <c r="C49" s="20">
        <v>0.2</v>
      </c>
    </row>
    <row r="50" spans="1:3" x14ac:dyDescent="0.25">
      <c r="A50" s="50" t="s">
        <v>121</v>
      </c>
      <c r="B50">
        <v>1</v>
      </c>
      <c r="C50" s="20">
        <v>0.05</v>
      </c>
    </row>
    <row r="51" spans="1:3" x14ac:dyDescent="0.25">
      <c r="A51" s="50" t="s">
        <v>123</v>
      </c>
      <c r="B51">
        <v>1</v>
      </c>
      <c r="C51" s="20">
        <v>0.28339999999999999</v>
      </c>
    </row>
    <row r="52" spans="1:3" x14ac:dyDescent="0.25">
      <c r="A52" s="50" t="s">
        <v>109</v>
      </c>
      <c r="B52">
        <v>1</v>
      </c>
      <c r="C52" s="20">
        <v>0.12944444444444445</v>
      </c>
    </row>
    <row r="53" spans="1:3" x14ac:dyDescent="0.25">
      <c r="A53" s="50" t="s">
        <v>115</v>
      </c>
      <c r="B53">
        <v>1</v>
      </c>
      <c r="C53" s="20">
        <v>5.1666666666666666E-2</v>
      </c>
    </row>
    <row r="54" spans="1:3" x14ac:dyDescent="0.25">
      <c r="A54" s="49" t="s">
        <v>142</v>
      </c>
      <c r="B54">
        <v>46</v>
      </c>
      <c r="C54" s="20">
        <v>28.99099065711254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92B97-862D-42CC-A3B0-5BF7B5F10B00}">
  <dimension ref="A1:B15"/>
  <sheetViews>
    <sheetView workbookViewId="0">
      <selection activeCell="E8" sqref="E8"/>
    </sheetView>
  </sheetViews>
  <sheetFormatPr defaultRowHeight="15" x14ac:dyDescent="0.25"/>
  <cols>
    <col min="1" max="1" width="65.7109375" bestFit="1" customWidth="1"/>
    <col min="2" max="2" width="7" bestFit="1" customWidth="1"/>
  </cols>
  <sheetData>
    <row r="1" spans="1:2" x14ac:dyDescent="0.25">
      <c r="A1" s="48" t="s">
        <v>134</v>
      </c>
      <c r="B1" t="s">
        <v>135</v>
      </c>
    </row>
    <row r="3" spans="1:2" x14ac:dyDescent="0.25">
      <c r="A3" s="48" t="s">
        <v>141</v>
      </c>
    </row>
    <row r="4" spans="1:2" x14ac:dyDescent="0.25">
      <c r="A4" s="49" t="s">
        <v>28</v>
      </c>
    </row>
    <row r="5" spans="1:2" x14ac:dyDescent="0.25">
      <c r="A5" s="50" t="s">
        <v>81</v>
      </c>
    </row>
    <row r="6" spans="1:2" x14ac:dyDescent="0.25">
      <c r="A6" s="49" t="s">
        <v>31</v>
      </c>
    </row>
    <row r="7" spans="1:2" x14ac:dyDescent="0.25">
      <c r="A7" s="50" t="s">
        <v>100</v>
      </c>
    </row>
    <row r="8" spans="1:2" x14ac:dyDescent="0.25">
      <c r="A8" s="50" t="s">
        <v>99</v>
      </c>
    </row>
    <row r="9" spans="1:2" x14ac:dyDescent="0.25">
      <c r="A9" s="50" t="s">
        <v>114</v>
      </c>
    </row>
    <row r="10" spans="1:2" x14ac:dyDescent="0.25">
      <c r="A10" s="50" t="s">
        <v>108</v>
      </c>
    </row>
    <row r="11" spans="1:2" x14ac:dyDescent="0.25">
      <c r="A11" s="50" t="s">
        <v>110</v>
      </c>
    </row>
    <row r="12" spans="1:2" x14ac:dyDescent="0.25">
      <c r="A12" s="50" t="s">
        <v>107</v>
      </c>
    </row>
    <row r="13" spans="1:2" x14ac:dyDescent="0.25">
      <c r="A13" s="50" t="s">
        <v>113</v>
      </c>
    </row>
    <row r="14" spans="1:2" x14ac:dyDescent="0.25">
      <c r="A14" s="50" t="s">
        <v>117</v>
      </c>
    </row>
    <row r="15" spans="1:2" x14ac:dyDescent="0.25">
      <c r="A15" s="49" t="s">
        <v>142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5DE4C-7CB6-442B-BE81-934088ECFB14}">
  <sheetPr codeName="Planilha4"/>
  <dimension ref="A1:AL55"/>
  <sheetViews>
    <sheetView showGridLines="0" tabSelected="1" zoomScale="85" zoomScaleNormal="85" workbookViewId="0">
      <pane xSplit="1" topLeftCell="Q1" activePane="topRight" state="frozen"/>
      <selection pane="topRight" activeCell="AD29" sqref="AD28:AD29"/>
    </sheetView>
  </sheetViews>
  <sheetFormatPr defaultRowHeight="15" x14ac:dyDescent="0.25"/>
  <cols>
    <col min="1" max="1" width="22.85546875" bestFit="1" customWidth="1"/>
    <col min="2" max="2" width="49.28515625" bestFit="1" customWidth="1"/>
    <col min="3" max="3" width="81.7109375" bestFit="1" customWidth="1"/>
    <col min="4" max="4" width="81.28515625" bestFit="1" customWidth="1"/>
    <col min="5" max="5" width="17.140625" bestFit="1" customWidth="1"/>
    <col min="6" max="6" width="16.7109375" bestFit="1" customWidth="1"/>
    <col min="7" max="7" width="24.5703125" bestFit="1" customWidth="1"/>
    <col min="8" max="9" width="11.42578125" bestFit="1" customWidth="1"/>
    <col min="10" max="10" width="24.5703125" bestFit="1" customWidth="1"/>
    <col min="11" max="12" width="11.42578125" bestFit="1" customWidth="1"/>
    <col min="13" max="13" width="10.5703125" bestFit="1" customWidth="1"/>
    <col min="14" max="14" width="11.5703125" bestFit="1" customWidth="1"/>
    <col min="15" max="15" width="13.28515625" bestFit="1" customWidth="1"/>
    <col min="16" max="16" width="13.42578125" bestFit="1" customWidth="1"/>
    <col min="17" max="17" width="11.5703125" bestFit="1" customWidth="1"/>
    <col min="18" max="18" width="20" bestFit="1" customWidth="1"/>
    <col min="19" max="19" width="15.42578125" bestFit="1" customWidth="1"/>
    <col min="20" max="21" width="21.42578125" bestFit="1" customWidth="1"/>
    <col min="22" max="22" width="12.28515625" bestFit="1" customWidth="1"/>
    <col min="25" max="25" width="14" bestFit="1" customWidth="1"/>
    <col min="26" max="26" width="12.140625" bestFit="1" customWidth="1"/>
    <col min="28" max="29" width="11.28515625" bestFit="1" customWidth="1"/>
    <col min="30" max="30" width="18.7109375" bestFit="1" customWidth="1"/>
    <col min="33" max="33" width="10.42578125" bestFit="1" customWidth="1"/>
    <col min="34" max="34" width="11.5703125" bestFit="1" customWidth="1"/>
    <col min="35" max="35" width="16.5703125" bestFit="1" customWidth="1"/>
    <col min="36" max="36" width="11.85546875" bestFit="1" customWidth="1"/>
    <col min="37" max="37" width="11.140625" bestFit="1" customWidth="1"/>
    <col min="38" max="38" width="12" bestFit="1" customWidth="1"/>
  </cols>
  <sheetData>
    <row r="1" spans="1:38" ht="15.75" x14ac:dyDescent="0.25">
      <c r="A1" s="57" t="s">
        <v>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9"/>
      <c r="Y1" s="23" t="s">
        <v>53</v>
      </c>
      <c r="Z1" s="23" t="s">
        <v>54</v>
      </c>
      <c r="AA1" s="23" t="s">
        <v>55</v>
      </c>
      <c r="AB1" s="23" t="s">
        <v>52</v>
      </c>
      <c r="AC1" s="23" t="s">
        <v>56</v>
      </c>
      <c r="AD1" s="23" t="s">
        <v>55</v>
      </c>
      <c r="AE1" t="s">
        <v>35</v>
      </c>
      <c r="AG1" t="s">
        <v>75</v>
      </c>
      <c r="AI1" s="7" t="s">
        <v>55</v>
      </c>
      <c r="AJ1" s="8">
        <f>AD2</f>
        <v>5.4589999999999996</v>
      </c>
      <c r="AK1" s="6" t="s">
        <v>23</v>
      </c>
    </row>
    <row r="2" spans="1:38" ht="15.75" x14ac:dyDescent="0.25">
      <c r="A2" s="60" t="s">
        <v>2</v>
      </c>
      <c r="B2" s="61"/>
      <c r="C2" s="62" t="str">
        <f>'Crono-análise de atividades'!C2</f>
        <v>David Teixeira</v>
      </c>
      <c r="D2" s="62"/>
      <c r="E2" s="1" t="s">
        <v>4</v>
      </c>
      <c r="F2" s="62" t="str">
        <f>'Crono-análise de atividades'!F2</f>
        <v>Engenharia</v>
      </c>
      <c r="G2" s="62"/>
      <c r="H2" s="63" t="s">
        <v>5</v>
      </c>
      <c r="I2" s="63"/>
      <c r="J2" s="64">
        <f>'Crono-análise de atividades'!J2</f>
        <v>45719</v>
      </c>
      <c r="K2" s="64"/>
      <c r="L2" s="65"/>
      <c r="M2" s="2"/>
      <c r="N2" s="2"/>
      <c r="O2" s="2"/>
      <c r="P2" s="2"/>
      <c r="Y2" t="str" cm="1">
        <f t="array" ref="Y2:Y5">_xlfn.UNIQUE(Tabela14[ID])</f>
        <v>OP1</v>
      </c>
      <c r="Z2" s="21">
        <f>_xlfn.XLOOKUP(Y2,'Análise de fádiga - Proposta'!B2:B14,'Análise de fádiga - Proposta'!F2:F14,"",0,1)</f>
        <v>5.4589999999999996</v>
      </c>
      <c r="AA2" s="20">
        <f>MAX(_xlfn.ANCHORARRAY($AD$2))</f>
        <v>5.4589999999999996</v>
      </c>
      <c r="AB2" s="20">
        <f>$E$4</f>
        <v>8.2173913043478244</v>
      </c>
      <c r="AC2" s="22">
        <f>Z2/AE2</f>
        <v>0.85296874999999994</v>
      </c>
      <c r="AD2" s="20" cm="1">
        <f t="array" ref="AD2">_xlfn.XLOOKUP(SUMPRODUCT(SUMIF(Tabela14[MOP],AG2:AG3,Tabela14[Tméd ajustado (s)])),Tabela46[Tméd (s)],Tabela46[Tméd ajustado (s)],"Não Encontrado",0,1)</f>
        <v>5.4589999999999996</v>
      </c>
      <c r="AE2">
        <v>6.4</v>
      </c>
      <c r="AG2" t="s">
        <v>71</v>
      </c>
      <c r="AI2" s="7" t="s">
        <v>60</v>
      </c>
      <c r="AJ2" s="9">
        <f>SUM(Tabela14[Tméd ajustado (s)])</f>
        <v>24.26474065711254</v>
      </c>
      <c r="AK2" s="6" t="s">
        <v>23</v>
      </c>
    </row>
    <row r="3" spans="1:38" ht="16.5" thickBot="1" x14ac:dyDescent="0.3">
      <c r="A3" s="52" t="s">
        <v>3</v>
      </c>
      <c r="B3" s="53"/>
      <c r="C3" s="62" t="str">
        <f>'Crono-análise de atividades'!C3</f>
        <v>Montagem MTD</v>
      </c>
      <c r="D3" s="62"/>
      <c r="E3" s="3" t="s">
        <v>6</v>
      </c>
      <c r="F3" s="62">
        <f>'Crono-análise de atividades'!F3</f>
        <v>335272</v>
      </c>
      <c r="G3" s="62"/>
      <c r="H3" s="55" t="s">
        <v>7</v>
      </c>
      <c r="I3" s="55"/>
      <c r="J3" s="64" t="str">
        <f>'Crono-análise de atividades'!J3</f>
        <v>Video</v>
      </c>
      <c r="K3" s="64"/>
      <c r="L3" s="65"/>
      <c r="M3" s="2"/>
      <c r="N3" s="2"/>
      <c r="O3" s="2"/>
      <c r="P3" s="2"/>
      <c r="Y3" t="str">
        <v>OP2</v>
      </c>
      <c r="Z3" s="21">
        <f>_xlfn.XLOOKUP(Y3,'Análise de fádiga - Proposta'!B3:B15,'Análise de fádiga - Proposta'!F3:F15,"",0,1)</f>
        <v>5.6856000000000009</v>
      </c>
      <c r="AA3" s="20">
        <f t="shared" ref="AA3:AA7" si="0">MAX(_xlfn.ANCHORARRAY($AD$2))</f>
        <v>5.4589999999999996</v>
      </c>
      <c r="AB3" s="20">
        <f t="shared" ref="AB3:AB7" si="1">$E$4</f>
        <v>8.2173913043478244</v>
      </c>
      <c r="AC3" s="22">
        <f t="shared" ref="AC3:AC7" si="2">Z3/AE3</f>
        <v>0.88837500000000014</v>
      </c>
      <c r="AD3" s="20">
        <f>AD2</f>
        <v>5.4589999999999996</v>
      </c>
      <c r="AE3">
        <v>6.4</v>
      </c>
      <c r="AG3" t="s">
        <v>72</v>
      </c>
      <c r="AI3" s="7" t="s">
        <v>19</v>
      </c>
      <c r="AJ3" s="8">
        <f>AJ2/AJ1</f>
        <v>4.4449057807496875</v>
      </c>
      <c r="AK3" s="6" t="s">
        <v>20</v>
      </c>
    </row>
    <row r="4" spans="1:38" x14ac:dyDescent="0.25">
      <c r="A4" s="4" t="s">
        <v>8</v>
      </c>
      <c r="B4" s="5">
        <f>'Crono-análise de atividades'!B4</f>
        <v>1260</v>
      </c>
      <c r="C4" s="6" t="s">
        <v>9</v>
      </c>
      <c r="D4" s="7" t="s">
        <v>18</v>
      </c>
      <c r="E4" s="8">
        <f>B6/B7*60</f>
        <v>8.2173913043478244</v>
      </c>
      <c r="F4" s="6" t="s">
        <v>23</v>
      </c>
      <c r="G4" s="7" t="s">
        <v>83</v>
      </c>
      <c r="H4" s="10">
        <f>3600/AD2</f>
        <v>659.46143982414367</v>
      </c>
      <c r="I4" s="6" t="s">
        <v>84</v>
      </c>
      <c r="J4" s="7" t="s">
        <v>132</v>
      </c>
      <c r="K4" s="10">
        <f>B8/(K8*21)</f>
        <v>561.66056166056171</v>
      </c>
      <c r="L4" s="6" t="s">
        <v>84</v>
      </c>
      <c r="M4" s="45" t="str">
        <f>IF(H8="", B8/(H4*14), "")</f>
        <v/>
      </c>
      <c r="N4" s="2"/>
      <c r="O4" s="2"/>
      <c r="P4" s="2"/>
      <c r="Y4" t="str">
        <v>OP3</v>
      </c>
      <c r="Z4" s="21">
        <f>_xlfn.XLOOKUP(Y4,'Análise de fádiga - Proposta'!B4:B16,'Análise de fádiga - Proposta'!F4:F16,"",0,1)</f>
        <v>3.7567250000000003</v>
      </c>
      <c r="AA4" s="20">
        <f t="shared" si="0"/>
        <v>5.4589999999999996</v>
      </c>
      <c r="AB4" s="20">
        <f t="shared" si="1"/>
        <v>8.2173913043478244</v>
      </c>
      <c r="AC4" s="22">
        <f t="shared" si="2"/>
        <v>0.58698828125000002</v>
      </c>
      <c r="AD4" s="20">
        <f t="shared" ref="AD4:AD7" si="3">AD3</f>
        <v>5.4589999999999996</v>
      </c>
      <c r="AE4">
        <v>6.4</v>
      </c>
      <c r="AI4" s="7" t="s">
        <v>21</v>
      </c>
      <c r="AJ4" s="10">
        <f>ROUNDUP(AJ3,0)</f>
        <v>5</v>
      </c>
      <c r="AK4" s="6" t="s">
        <v>20</v>
      </c>
    </row>
    <row r="5" spans="1:38" x14ac:dyDescent="0.25">
      <c r="A5" s="4" t="s">
        <v>10</v>
      </c>
      <c r="B5" s="5">
        <f>'Crono-análise de atividades'!B5</f>
        <v>25</v>
      </c>
      <c r="C5" s="6" t="s">
        <v>11</v>
      </c>
      <c r="D5" s="7" t="s">
        <v>60</v>
      </c>
      <c r="E5" s="9">
        <f>SUM(Tabela14[Tméd ajustado (s)])</f>
        <v>24.26474065711254</v>
      </c>
      <c r="F5" s="6" t="s">
        <v>23</v>
      </c>
      <c r="G5" s="7" t="s">
        <v>83</v>
      </c>
      <c r="H5" s="5">
        <f>H4*21</f>
        <v>13848.690236307017</v>
      </c>
      <c r="I5" s="6" t="s">
        <v>85</v>
      </c>
      <c r="J5" s="7" t="s">
        <v>133</v>
      </c>
      <c r="K5" s="5">
        <f>K4*21</f>
        <v>11794.871794871797</v>
      </c>
      <c r="L5" s="6" t="s">
        <v>85</v>
      </c>
      <c r="M5" s="66" t="str">
        <f>IF(H7*24&lt;=14, "ATENÇÃO                                                                                                   Eficiência considerada para 2 turnos de trabalho (14h)", "")</f>
        <v>ATENÇÃO                                                                                                   Eficiência considerada para 2 turnos de trabalho (14h)</v>
      </c>
      <c r="N5" s="67"/>
      <c r="O5" s="2"/>
      <c r="P5" s="2"/>
      <c r="Y5" t="str">
        <v>OP4</v>
      </c>
      <c r="Z5" s="21">
        <f>_xlfn.XLOOKUP(Y5,'Análise de fádiga - Proposta'!B5:B17,'Análise de fádiga - Proposta'!F5:F17,"",0,1)</f>
        <v>10.162914543492583</v>
      </c>
      <c r="AA5" s="20">
        <f t="shared" si="0"/>
        <v>5.4589999999999996</v>
      </c>
      <c r="AB5" s="20">
        <f t="shared" si="1"/>
        <v>8.2173913043478244</v>
      </c>
      <c r="AC5" s="22">
        <f t="shared" si="2"/>
        <v>1.5879553974207161</v>
      </c>
      <c r="AD5" s="20">
        <f t="shared" si="3"/>
        <v>5.4589999999999996</v>
      </c>
      <c r="AE5">
        <v>6.4</v>
      </c>
    </row>
    <row r="6" spans="1:38" x14ac:dyDescent="0.25">
      <c r="A6" s="4" t="s">
        <v>12</v>
      </c>
      <c r="B6" s="5">
        <f>'Crono-análise de atividades'!B6</f>
        <v>31500</v>
      </c>
      <c r="C6" s="6" t="s">
        <v>13</v>
      </c>
      <c r="D6" s="7" t="s">
        <v>19</v>
      </c>
      <c r="E6" s="8">
        <f>E5/K6</f>
        <v>3.7857077405615827</v>
      </c>
      <c r="F6" s="6" t="s">
        <v>20</v>
      </c>
      <c r="G6" s="7" t="s">
        <v>127</v>
      </c>
      <c r="H6" s="43">
        <f>AA2</f>
        <v>5.4589999999999996</v>
      </c>
      <c r="I6" s="6" t="s">
        <v>23</v>
      </c>
      <c r="J6" s="7" t="s">
        <v>127</v>
      </c>
      <c r="K6" s="43">
        <f>3600*21/K5</f>
        <v>6.4095652173913029</v>
      </c>
      <c r="L6" s="6" t="s">
        <v>23</v>
      </c>
      <c r="M6" s="66"/>
      <c r="N6" s="67"/>
      <c r="O6" s="2"/>
      <c r="P6" s="2"/>
      <c r="Z6" s="21">
        <f>_xlfn.XLOOKUP(Y6,'Análise de fádiga - Proposta'!B6:B18,'Análise de fádiga - Proposta'!F6:F18,"",0,1)</f>
        <v>0</v>
      </c>
      <c r="AA6" s="20">
        <f t="shared" si="0"/>
        <v>5.4589999999999996</v>
      </c>
      <c r="AB6" s="20">
        <f t="shared" si="1"/>
        <v>8.2173913043478244</v>
      </c>
      <c r="AC6" s="22">
        <f t="shared" si="2"/>
        <v>0</v>
      </c>
      <c r="AD6" s="20">
        <f t="shared" si="3"/>
        <v>5.4589999999999996</v>
      </c>
      <c r="AE6">
        <v>6.4</v>
      </c>
    </row>
    <row r="7" spans="1:38" x14ac:dyDescent="0.25">
      <c r="A7" s="4" t="s">
        <v>14</v>
      </c>
      <c r="B7" s="5">
        <f>'Crono-análise de atividades'!B7</f>
        <v>230000</v>
      </c>
      <c r="C7" s="6" t="s">
        <v>15</v>
      </c>
      <c r="D7" s="7" t="s">
        <v>21</v>
      </c>
      <c r="E7" s="10">
        <f>ROUNDUP(E6,0)</f>
        <v>4</v>
      </c>
      <c r="F7" s="6" t="s">
        <v>20</v>
      </c>
      <c r="G7" s="7" t="s">
        <v>128</v>
      </c>
      <c r="H7" s="44">
        <f>B8/H4/24</f>
        <v>0.58128240740740733</v>
      </c>
      <c r="I7" s="6" t="s">
        <v>129</v>
      </c>
      <c r="J7" s="7" t="s">
        <v>128</v>
      </c>
      <c r="K7" s="44">
        <f>K5/K4/24</f>
        <v>0.875</v>
      </c>
      <c r="L7" s="6" t="s">
        <v>129</v>
      </c>
      <c r="M7" s="66"/>
      <c r="N7" s="67"/>
      <c r="O7" s="2"/>
      <c r="P7" s="2"/>
      <c r="Z7" s="21">
        <f>SUMIF(Tabela14[ID],GBO!Y7,Tabela14[Tméd ajustado (s)])</f>
        <v>0</v>
      </c>
      <c r="AA7" s="20">
        <f t="shared" si="0"/>
        <v>5.4589999999999996</v>
      </c>
      <c r="AB7" s="20">
        <f t="shared" si="1"/>
        <v>8.2173913043478244</v>
      </c>
      <c r="AC7" s="22">
        <f t="shared" si="2"/>
        <v>0</v>
      </c>
      <c r="AD7" s="20">
        <f t="shared" si="3"/>
        <v>5.4589999999999996</v>
      </c>
      <c r="AE7">
        <v>6.4</v>
      </c>
    </row>
    <row r="8" spans="1:38" x14ac:dyDescent="0.25">
      <c r="A8" s="11" t="s">
        <v>16</v>
      </c>
      <c r="B8" s="5">
        <f>'Crono-análise de atividades'!B8</f>
        <v>9200</v>
      </c>
      <c r="C8" s="13" t="s">
        <v>17</v>
      </c>
      <c r="D8" s="14" t="s">
        <v>22</v>
      </c>
      <c r="E8" s="15">
        <f>E6/E7</f>
        <v>0.94642693514039566</v>
      </c>
      <c r="F8" s="13" t="s">
        <v>130</v>
      </c>
      <c r="G8" s="7" t="s">
        <v>131</v>
      </c>
      <c r="H8" s="46">
        <f>IF(H7*24&gt;14, H7*24/21, B8/(H4*14))</f>
        <v>0.99648412698412692</v>
      </c>
      <c r="I8" s="6" t="s">
        <v>130</v>
      </c>
      <c r="J8" s="7" t="s">
        <v>131</v>
      </c>
      <c r="K8" s="46">
        <v>0.78</v>
      </c>
      <c r="L8" s="6" t="s">
        <v>130</v>
      </c>
      <c r="M8" s="66"/>
      <c r="N8" s="67"/>
      <c r="O8" s="2"/>
      <c r="P8" s="2"/>
      <c r="W8" s="20"/>
    </row>
    <row r="9" spans="1:38" x14ac:dyDescent="0.25">
      <c r="A9" s="17" t="s">
        <v>134</v>
      </c>
      <c r="B9" s="17" t="s">
        <v>24</v>
      </c>
      <c r="C9" s="17" t="s">
        <v>70</v>
      </c>
      <c r="D9" s="17" t="s">
        <v>26</v>
      </c>
      <c r="E9" s="17" t="s">
        <v>67</v>
      </c>
      <c r="F9" s="17" t="s">
        <v>27</v>
      </c>
      <c r="G9" s="17" t="s">
        <v>40</v>
      </c>
      <c r="H9" s="17" t="s">
        <v>41</v>
      </c>
      <c r="I9" s="17" t="s">
        <v>42</v>
      </c>
      <c r="J9" s="17" t="s">
        <v>43</v>
      </c>
      <c r="K9" s="17" t="s">
        <v>44</v>
      </c>
      <c r="L9" s="17" t="s">
        <v>45</v>
      </c>
      <c r="M9" s="17" t="s">
        <v>46</v>
      </c>
      <c r="N9" s="17" t="s">
        <v>47</v>
      </c>
      <c r="O9" s="17" t="s">
        <v>48</v>
      </c>
      <c r="P9" s="17" t="s">
        <v>49</v>
      </c>
      <c r="Q9" s="17" t="s">
        <v>39</v>
      </c>
      <c r="R9" s="17" t="s">
        <v>68</v>
      </c>
      <c r="S9" s="17" t="s">
        <v>76</v>
      </c>
      <c r="T9" s="17" t="s">
        <v>69</v>
      </c>
      <c r="U9" s="17" t="s">
        <v>66</v>
      </c>
      <c r="AE9" t="s">
        <v>63</v>
      </c>
    </row>
    <row r="10" spans="1:38" x14ac:dyDescent="0.25">
      <c r="B10" t="s">
        <v>34</v>
      </c>
      <c r="C10" s="16" t="s">
        <v>28</v>
      </c>
      <c r="D10" t="s">
        <v>77</v>
      </c>
      <c r="E10" s="25" t="s">
        <v>72</v>
      </c>
      <c r="F10" s="26" t="s">
        <v>37</v>
      </c>
      <c r="G10" s="18">
        <v>1.93</v>
      </c>
      <c r="H10" s="19">
        <v>1.57</v>
      </c>
      <c r="I10" s="19">
        <v>1.57</v>
      </c>
      <c r="J10" s="19">
        <v>1.6</v>
      </c>
      <c r="K10" s="19"/>
      <c r="L10" s="19"/>
      <c r="M10" s="19"/>
      <c r="N10" s="19"/>
      <c r="O10" s="19"/>
      <c r="P10" s="19"/>
      <c r="Q10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1.585</v>
      </c>
      <c r="R10" s="38">
        <v>1</v>
      </c>
      <c r="S10" s="37"/>
      <c r="T10" s="40">
        <v>1</v>
      </c>
      <c r="U10" s="19">
        <f>IFERROR(Tabela14[[#This Row],[Tméd (s)]]/Tabela14[[#This Row],[Frequência]],"")</f>
        <v>1.585</v>
      </c>
    </row>
    <row r="11" spans="1:38" x14ac:dyDescent="0.25">
      <c r="B11" t="s">
        <v>34</v>
      </c>
      <c r="C11" s="16" t="s">
        <v>28</v>
      </c>
      <c r="D11" t="s">
        <v>78</v>
      </c>
      <c r="E11" s="25" t="s">
        <v>72</v>
      </c>
      <c r="F11" s="26" t="s">
        <v>38</v>
      </c>
      <c r="G11" s="19">
        <v>0.5</v>
      </c>
      <c r="H11" s="19">
        <v>1.1000000000000001</v>
      </c>
      <c r="I11" s="19">
        <v>0.5</v>
      </c>
      <c r="J11" s="19">
        <v>0.7</v>
      </c>
      <c r="K11" s="19"/>
      <c r="L11" s="19"/>
      <c r="M11" s="19"/>
      <c r="N11" s="19"/>
      <c r="O11" s="19"/>
      <c r="P11" s="19"/>
      <c r="Q11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0.59999999999999987</v>
      </c>
      <c r="R11" s="38">
        <v>1</v>
      </c>
      <c r="S11" s="37"/>
      <c r="T11" s="40">
        <v>1</v>
      </c>
      <c r="U11" s="19">
        <f>IFERROR(Tabela14[[#This Row],[Tméd (s)]]/Tabela14[[#This Row],[Frequência]],"")</f>
        <v>0.59999999999999987</v>
      </c>
    </row>
    <row r="12" spans="1:38" x14ac:dyDescent="0.25">
      <c r="B12" t="s">
        <v>34</v>
      </c>
      <c r="C12" s="16" t="s">
        <v>28</v>
      </c>
      <c r="D12" t="s">
        <v>79</v>
      </c>
      <c r="E12" s="25" t="s">
        <v>72</v>
      </c>
      <c r="F12" s="26" t="s">
        <v>36</v>
      </c>
      <c r="G12" s="19">
        <v>0.5</v>
      </c>
      <c r="H12" s="19">
        <v>0.6</v>
      </c>
      <c r="I12" s="19">
        <v>0.43</v>
      </c>
      <c r="J12" s="19">
        <v>0.23</v>
      </c>
      <c r="K12" s="19"/>
      <c r="L12" s="19"/>
      <c r="M12" s="19"/>
      <c r="N12" s="19"/>
      <c r="O12" s="19"/>
      <c r="P12" s="19"/>
      <c r="Q12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0.46500000000000008</v>
      </c>
      <c r="R12" s="38">
        <v>1</v>
      </c>
      <c r="S12" s="37"/>
      <c r="T12" s="40">
        <v>1</v>
      </c>
      <c r="U12" s="19">
        <f>IFERROR(Tabela14[[#This Row],[Tméd (s)]]/Tabela14[[#This Row],[Frequência]],"")</f>
        <v>0.46500000000000008</v>
      </c>
    </row>
    <row r="13" spans="1:38" x14ac:dyDescent="0.25">
      <c r="B13" t="s">
        <v>34</v>
      </c>
      <c r="C13" s="16" t="s">
        <v>28</v>
      </c>
      <c r="D13" t="s">
        <v>80</v>
      </c>
      <c r="E13" s="25" t="s">
        <v>72</v>
      </c>
      <c r="F13" s="26" t="s">
        <v>37</v>
      </c>
      <c r="G13" s="19">
        <v>1.4</v>
      </c>
      <c r="H13" s="19">
        <v>0.8</v>
      </c>
      <c r="I13" s="19">
        <v>0.8</v>
      </c>
      <c r="J13" s="19">
        <v>0.7</v>
      </c>
      <c r="K13" s="19"/>
      <c r="L13" s="19"/>
      <c r="M13" s="19"/>
      <c r="N13" s="19"/>
      <c r="O13" s="19"/>
      <c r="P13" s="19"/>
      <c r="Q13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0.80000000000000016</v>
      </c>
      <c r="R13" s="38">
        <v>1</v>
      </c>
      <c r="S13" s="37"/>
      <c r="T13" s="40">
        <v>1</v>
      </c>
      <c r="U13" s="19">
        <f>IFERROR(Tabela14[[#This Row],[Tméd (s)]]/Tabela14[[#This Row],[Frequência]],"")</f>
        <v>0.80000000000000016</v>
      </c>
      <c r="Y13">
        <f>SUMIF(Tabela4[Operador],'Crono-análise de atividades'!Y2,Tabela4[Tméd ajustado (s)])</f>
        <v>6.4732499999999993</v>
      </c>
    </row>
    <row r="14" spans="1:38" x14ac:dyDescent="0.25">
      <c r="A14" t="s">
        <v>135</v>
      </c>
      <c r="B14" t="s">
        <v>34</v>
      </c>
      <c r="C14" s="16" t="s">
        <v>28</v>
      </c>
      <c r="D14" t="s">
        <v>81</v>
      </c>
      <c r="E14" s="25" t="s">
        <v>72</v>
      </c>
      <c r="F14" s="26" t="s">
        <v>38</v>
      </c>
      <c r="G14" s="19"/>
      <c r="H14" s="19"/>
      <c r="I14" s="19">
        <v>0.5</v>
      </c>
      <c r="J14" s="19"/>
      <c r="K14" s="19"/>
      <c r="L14" s="19"/>
      <c r="M14" s="19"/>
      <c r="N14" s="19"/>
      <c r="O14" s="19"/>
      <c r="P14" s="19"/>
      <c r="Q14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0.5</v>
      </c>
      <c r="R14" s="38">
        <v>1</v>
      </c>
      <c r="S14" s="37"/>
      <c r="T14" s="40">
        <v>1</v>
      </c>
      <c r="U14" s="19"/>
    </row>
    <row r="15" spans="1:38" x14ac:dyDescent="0.25">
      <c r="B15" t="s">
        <v>34</v>
      </c>
      <c r="C15" s="16" t="s">
        <v>28</v>
      </c>
      <c r="D15" t="s">
        <v>82</v>
      </c>
      <c r="E15" s="25" t="s">
        <v>72</v>
      </c>
      <c r="F15" s="26" t="s">
        <v>37</v>
      </c>
      <c r="G15" s="19">
        <v>2.33</v>
      </c>
      <c r="H15" s="19">
        <v>1.87</v>
      </c>
      <c r="I15" s="19">
        <v>1.83</v>
      </c>
      <c r="J15" s="19">
        <v>0</v>
      </c>
      <c r="K15" s="19"/>
      <c r="L15" s="19"/>
      <c r="M15" s="19"/>
      <c r="N15" s="19"/>
      <c r="O15" s="19"/>
      <c r="P15" s="19"/>
      <c r="Q15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1.85</v>
      </c>
      <c r="R15" s="38">
        <v>1</v>
      </c>
      <c r="S15" s="37"/>
      <c r="T15" s="40">
        <v>1</v>
      </c>
      <c r="U15" s="19">
        <f>IFERROR(Tabela14[[#This Row],[Tméd (s)]]/Tabela14[[#This Row],[Frequência]],"")</f>
        <v>1.85</v>
      </c>
    </row>
    <row r="16" spans="1:38" x14ac:dyDescent="0.25">
      <c r="B16" t="s">
        <v>86</v>
      </c>
      <c r="C16" s="16" t="s">
        <v>29</v>
      </c>
      <c r="D16" t="s">
        <v>87</v>
      </c>
      <c r="E16" s="25" t="s">
        <v>74</v>
      </c>
      <c r="F16" s="27" t="s">
        <v>37</v>
      </c>
      <c r="G16" s="19">
        <v>1.47</v>
      </c>
      <c r="H16" s="19">
        <v>1.3</v>
      </c>
      <c r="I16" s="19">
        <v>1.4</v>
      </c>
      <c r="J16" s="19"/>
      <c r="K16" s="19"/>
      <c r="L16" s="19"/>
      <c r="M16" s="19"/>
      <c r="N16" s="19"/>
      <c r="O16" s="19"/>
      <c r="P16" s="19"/>
      <c r="Q16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1.4000000000000001</v>
      </c>
      <c r="R16" s="38">
        <v>1</v>
      </c>
      <c r="S16" s="37"/>
      <c r="T16" s="40">
        <v>1</v>
      </c>
      <c r="U16" s="19">
        <f>IFERROR(Tabela14[[#This Row],[Tméd (s)]]/Tabela14[[#This Row],[Frequência]],"")</f>
        <v>1.4000000000000001</v>
      </c>
      <c r="AI16" s="23" t="s">
        <v>59</v>
      </c>
      <c r="AJ16" s="23" t="s">
        <v>57</v>
      </c>
      <c r="AK16" s="24" t="s">
        <v>62</v>
      </c>
      <c r="AL16" s="23" t="s">
        <v>58</v>
      </c>
    </row>
    <row r="17" spans="1:38" x14ac:dyDescent="0.25">
      <c r="B17" t="s">
        <v>86</v>
      </c>
      <c r="C17" s="16" t="s">
        <v>29</v>
      </c>
      <c r="D17" t="s">
        <v>145</v>
      </c>
      <c r="E17" s="25" t="s">
        <v>74</v>
      </c>
      <c r="F17" s="27" t="s">
        <v>37</v>
      </c>
      <c r="G17" s="19">
        <v>1</v>
      </c>
      <c r="H17" s="19">
        <v>1.1000000000000001</v>
      </c>
      <c r="I17" s="19">
        <v>0.8</v>
      </c>
      <c r="J17" s="19"/>
      <c r="K17" s="19"/>
      <c r="L17" s="19"/>
      <c r="M17" s="19"/>
      <c r="N17" s="19"/>
      <c r="O17" s="19"/>
      <c r="P17" s="19"/>
      <c r="Q17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1.0000000000000002</v>
      </c>
      <c r="R17" s="38">
        <v>1</v>
      </c>
      <c r="S17" s="37"/>
      <c r="T17" s="40">
        <v>1</v>
      </c>
      <c r="U17" s="19">
        <f>IFERROR(Tabela14[[#This Row],[Tméd (s)]]/Tabela14[[#This Row],[Frequência]],"")</f>
        <v>1.0000000000000002</v>
      </c>
      <c r="AI17" t="str" cm="1">
        <f t="array" ref="AI17:AI20">_xlfn.UNIQUE(Tabela14[ID])</f>
        <v>OP1</v>
      </c>
      <c r="AJ17" s="41" cm="1">
        <f t="array" ref="AJ17:AL20">SUMIFS(Tabela14[Tméd ajustado (s)],Tabela14[Classificação],AJ16:AL16,Tabela14[ID],_xlfn.ANCHORARRAY(Y2))</f>
        <v>0.46500000000000008</v>
      </c>
      <c r="AK17" s="41">
        <v>4.2350000000000003</v>
      </c>
      <c r="AL17" s="41">
        <v>0.59999999999999987</v>
      </c>
    </row>
    <row r="18" spans="1:38" x14ac:dyDescent="0.25">
      <c r="B18" t="s">
        <v>86</v>
      </c>
      <c r="C18" s="16" t="s">
        <v>29</v>
      </c>
      <c r="D18" t="s">
        <v>146</v>
      </c>
      <c r="E18" s="25" t="s">
        <v>74</v>
      </c>
      <c r="F18" s="27" t="s">
        <v>37</v>
      </c>
      <c r="G18" s="19">
        <v>0.6</v>
      </c>
      <c r="H18" s="19">
        <v>0.5</v>
      </c>
      <c r="I18" s="19">
        <v>0.4</v>
      </c>
      <c r="J18" s="19"/>
      <c r="K18" s="19"/>
      <c r="L18" s="19"/>
      <c r="M18" s="19"/>
      <c r="N18" s="19"/>
      <c r="O18" s="19"/>
      <c r="P18" s="19"/>
      <c r="Q18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0.5</v>
      </c>
      <c r="R18" s="38">
        <v>1</v>
      </c>
      <c r="S18" s="37"/>
      <c r="T18" s="40">
        <v>1</v>
      </c>
      <c r="U18" s="19">
        <f>IFERROR(Tabela14[[#This Row],[Tméd (s)]]/Tabela14[[#This Row],[Frequência]],"")</f>
        <v>0.5</v>
      </c>
      <c r="AI18" t="str">
        <v>OP2</v>
      </c>
      <c r="AJ18" s="41">
        <v>0.44999999999999996</v>
      </c>
      <c r="AK18" s="41">
        <v>5.07</v>
      </c>
      <c r="AL18" s="41">
        <v>0</v>
      </c>
    </row>
    <row r="19" spans="1:38" x14ac:dyDescent="0.25">
      <c r="B19" t="s">
        <v>86</v>
      </c>
      <c r="C19" s="16" t="s">
        <v>29</v>
      </c>
      <c r="D19" t="s">
        <v>147</v>
      </c>
      <c r="E19" s="25" t="s">
        <v>74</v>
      </c>
      <c r="F19" s="27" t="s">
        <v>37</v>
      </c>
      <c r="G19" s="19">
        <v>0.6</v>
      </c>
      <c r="H19" s="19">
        <v>0.56999999999999995</v>
      </c>
      <c r="I19" s="19">
        <v>0.55000000000000004</v>
      </c>
      <c r="J19" s="19"/>
      <c r="K19" s="19"/>
      <c r="L19" s="19"/>
      <c r="M19" s="19"/>
      <c r="N19" s="19"/>
      <c r="O19" s="19"/>
      <c r="P19" s="19"/>
      <c r="Q19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0.57000000000000006</v>
      </c>
      <c r="R19" s="38">
        <v>1</v>
      </c>
      <c r="S19" s="37"/>
      <c r="T19" s="40">
        <v>1</v>
      </c>
      <c r="U19" s="19">
        <f>IFERROR(Tabela14[[#This Row],[Tméd (s)]]/Tabela14[[#This Row],[Frequência]],"")</f>
        <v>0.57000000000000006</v>
      </c>
      <c r="AI19" t="str">
        <v>OP3</v>
      </c>
      <c r="AJ19" s="41">
        <v>1.3892500000000001</v>
      </c>
      <c r="AK19" s="41">
        <v>0.98858333333333326</v>
      </c>
      <c r="AL19" s="41">
        <v>1.2</v>
      </c>
    </row>
    <row r="20" spans="1:38" x14ac:dyDescent="0.25">
      <c r="B20" t="s">
        <v>86</v>
      </c>
      <c r="C20" s="16" t="s">
        <v>29</v>
      </c>
      <c r="D20" t="s">
        <v>88</v>
      </c>
      <c r="E20" s="25" t="s">
        <v>74</v>
      </c>
      <c r="F20" s="27" t="s">
        <v>36</v>
      </c>
      <c r="G20" s="19">
        <v>0.45</v>
      </c>
      <c r="H20" s="19">
        <v>0.25</v>
      </c>
      <c r="I20" s="19">
        <v>0.47</v>
      </c>
      <c r="J20" s="19"/>
      <c r="K20" s="19"/>
      <c r="L20" s="19"/>
      <c r="M20" s="19"/>
      <c r="N20" s="19"/>
      <c r="O20" s="19"/>
      <c r="P20" s="19"/>
      <c r="Q20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0.44999999999999996</v>
      </c>
      <c r="R20" s="38">
        <v>1</v>
      </c>
      <c r="S20" s="37"/>
      <c r="T20" s="40">
        <v>1</v>
      </c>
      <c r="U20" s="19">
        <f>IFERROR(Tabela14[[#This Row],[Tméd (s)]]/Tabela14[[#This Row],[Frequência]],"")</f>
        <v>0.44999999999999996</v>
      </c>
      <c r="AI20" t="str">
        <v>OP4</v>
      </c>
      <c r="AJ20" s="41">
        <v>1.9376249999999997</v>
      </c>
      <c r="AK20" s="41">
        <v>6.052060101556985</v>
      </c>
      <c r="AL20" s="41">
        <v>1.8772222222222226</v>
      </c>
    </row>
    <row r="21" spans="1:38" x14ac:dyDescent="0.25">
      <c r="B21" t="s">
        <v>73</v>
      </c>
      <c r="C21" s="16" t="s">
        <v>30</v>
      </c>
      <c r="D21" t="s">
        <v>90</v>
      </c>
      <c r="E21" s="25" t="s">
        <v>74</v>
      </c>
      <c r="F21" s="27" t="s">
        <v>37</v>
      </c>
      <c r="G21" s="19">
        <v>0.65</v>
      </c>
      <c r="H21" s="19">
        <v>0.75</v>
      </c>
      <c r="I21" s="19">
        <v>1</v>
      </c>
      <c r="J21" s="19">
        <v>0.875</v>
      </c>
      <c r="K21" s="19">
        <v>0.97899999999999998</v>
      </c>
      <c r="L21" s="19">
        <v>0.97399999999999998</v>
      </c>
      <c r="M21" s="19">
        <v>0.90600000000000003</v>
      </c>
      <c r="N21" s="19">
        <v>0.90900000000000003</v>
      </c>
      <c r="O21" s="19">
        <v>0.97199999999999998</v>
      </c>
      <c r="P21" s="19">
        <v>0.95699999999999996</v>
      </c>
      <c r="Q21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0.9152499999999999</v>
      </c>
      <c r="R21" s="38">
        <v>1</v>
      </c>
      <c r="S21" s="37"/>
      <c r="T21" s="40">
        <v>1</v>
      </c>
      <c r="U21" s="19">
        <f>IFERROR(Tabela14[[#This Row],[Tméd (s)]]/Tabela14[[#This Row],[Frequência]],"")</f>
        <v>0.9152499999999999</v>
      </c>
      <c r="AJ21" s="41"/>
      <c r="AK21" s="41"/>
      <c r="AL21" s="41"/>
    </row>
    <row r="22" spans="1:38" x14ac:dyDescent="0.25">
      <c r="B22" t="s">
        <v>73</v>
      </c>
      <c r="C22" s="16" t="s">
        <v>30</v>
      </c>
      <c r="D22" t="s">
        <v>92</v>
      </c>
      <c r="E22" s="25" t="s">
        <v>91</v>
      </c>
      <c r="F22" s="27" t="s">
        <v>36</v>
      </c>
      <c r="G22" s="19">
        <v>1.47</v>
      </c>
      <c r="H22" s="19">
        <v>1.33</v>
      </c>
      <c r="I22" s="19">
        <v>1.33</v>
      </c>
      <c r="J22" s="19">
        <v>1.47</v>
      </c>
      <c r="K22" s="19">
        <v>1.4</v>
      </c>
      <c r="L22" s="19">
        <v>1.347</v>
      </c>
      <c r="M22" s="19">
        <v>1.4059999999999999</v>
      </c>
      <c r="N22" s="19">
        <v>1.4</v>
      </c>
      <c r="O22" s="19">
        <v>1.361</v>
      </c>
      <c r="P22" s="19">
        <v>1.4</v>
      </c>
      <c r="Q22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1.3892500000000001</v>
      </c>
      <c r="R22" s="38">
        <v>1</v>
      </c>
      <c r="S22" s="37"/>
      <c r="T22" s="40">
        <v>1</v>
      </c>
      <c r="U22" s="19">
        <f>IFERROR(Tabela14[[#This Row],[Tméd (s)]]/Tabela14[[#This Row],[Frequência]],"")</f>
        <v>1.3892500000000001</v>
      </c>
      <c r="AJ22" s="41"/>
      <c r="AK22" s="41"/>
      <c r="AL22" s="41"/>
    </row>
    <row r="23" spans="1:38" x14ac:dyDescent="0.25">
      <c r="B23" t="s">
        <v>73</v>
      </c>
      <c r="C23" s="16" t="s">
        <v>30</v>
      </c>
      <c r="D23" t="s">
        <v>93</v>
      </c>
      <c r="E23" s="25" t="s">
        <v>91</v>
      </c>
      <c r="F23" s="27" t="s">
        <v>37</v>
      </c>
      <c r="G23" s="19">
        <v>1.1000000000000001</v>
      </c>
      <c r="H23" s="19"/>
      <c r="I23" s="19"/>
      <c r="J23" s="19"/>
      <c r="K23" s="19"/>
      <c r="L23" s="19"/>
      <c r="M23" s="19"/>
      <c r="N23" s="19"/>
      <c r="O23" s="19"/>
      <c r="P23" s="19"/>
      <c r="Q23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1.1000000000000001</v>
      </c>
      <c r="R23" s="38">
        <v>1</v>
      </c>
      <c r="S23" s="37"/>
      <c r="T23" s="40">
        <v>15</v>
      </c>
      <c r="U23" s="19">
        <f>IFERROR(Tabela14[[#This Row],[Tméd (s)]]/Tabela14[[#This Row],[Frequência]],"")</f>
        <v>7.3333333333333334E-2</v>
      </c>
      <c r="AJ23" s="42">
        <f t="shared" ref="AJ23:AL23" si="4">SUM(AJ17:AJ22)</f>
        <v>4.2418750000000003</v>
      </c>
      <c r="AK23" s="42">
        <f t="shared" si="4"/>
        <v>16.345643434890317</v>
      </c>
      <c r="AL23" s="42">
        <f t="shared" si="4"/>
        <v>3.6772222222222224</v>
      </c>
    </row>
    <row r="24" spans="1:38" x14ac:dyDescent="0.25">
      <c r="B24" t="s">
        <v>73</v>
      </c>
      <c r="C24" s="16" t="s">
        <v>30</v>
      </c>
      <c r="D24" t="s">
        <v>94</v>
      </c>
      <c r="E24" s="25" t="s">
        <v>91</v>
      </c>
      <c r="F24" s="27" t="s">
        <v>38</v>
      </c>
      <c r="G24" s="19">
        <v>120</v>
      </c>
      <c r="H24" s="19"/>
      <c r="I24" s="19"/>
      <c r="J24" s="19"/>
      <c r="K24" s="19"/>
      <c r="L24" s="19"/>
      <c r="M24" s="19"/>
      <c r="N24" s="19"/>
      <c r="O24" s="19"/>
      <c r="P24" s="19"/>
      <c r="Q24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120</v>
      </c>
      <c r="R24" s="38">
        <v>1</v>
      </c>
      <c r="S24" s="37"/>
      <c r="T24" s="40">
        <v>100</v>
      </c>
      <c r="U24" s="19">
        <f>IFERROR(Tabela14[[#This Row],[Tméd (s)]]/Tabela14[[#This Row],[Frequência]],"")</f>
        <v>1.2</v>
      </c>
    </row>
    <row r="25" spans="1:38" x14ac:dyDescent="0.25">
      <c r="B25" t="s">
        <v>148</v>
      </c>
      <c r="C25" s="16" t="s">
        <v>31</v>
      </c>
      <c r="D25" t="s">
        <v>95</v>
      </c>
      <c r="E25" s="25" t="s">
        <v>74</v>
      </c>
      <c r="F25" s="27" t="s">
        <v>37</v>
      </c>
      <c r="G25" s="19">
        <v>1</v>
      </c>
      <c r="H25" s="19">
        <v>0.7</v>
      </c>
      <c r="I25" s="19">
        <v>0.8</v>
      </c>
      <c r="J25" s="19">
        <v>0.93</v>
      </c>
      <c r="K25" s="19">
        <v>0.8</v>
      </c>
      <c r="L25" s="19">
        <v>0.97699999999999998</v>
      </c>
      <c r="M25" s="19">
        <v>0.94699999999999995</v>
      </c>
      <c r="N25" s="19">
        <v>0.80300000000000005</v>
      </c>
      <c r="O25" s="19">
        <v>0.90900000000000003</v>
      </c>
      <c r="P25" s="19">
        <v>0.92900000000000005</v>
      </c>
      <c r="Q25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0.88687499999999997</v>
      </c>
      <c r="R25" s="38">
        <v>1</v>
      </c>
      <c r="S25" s="37"/>
      <c r="T25" s="40">
        <v>1</v>
      </c>
      <c r="U25" s="19">
        <f>IFERROR(Tabela14[[#This Row],[Tméd (s)]]/Tabela14[[#This Row],[Frequência]],"")</f>
        <v>0.88687499999999997</v>
      </c>
    </row>
    <row r="26" spans="1:38" x14ac:dyDescent="0.25">
      <c r="B26" t="s">
        <v>148</v>
      </c>
      <c r="C26" s="16" t="s">
        <v>31</v>
      </c>
      <c r="D26" t="s">
        <v>96</v>
      </c>
      <c r="E26" s="25" t="s">
        <v>74</v>
      </c>
      <c r="F26" s="27" t="s">
        <v>37</v>
      </c>
      <c r="G26" s="19">
        <v>0.6</v>
      </c>
      <c r="H26" s="19">
        <v>1</v>
      </c>
      <c r="I26" s="19">
        <v>2.27</v>
      </c>
      <c r="J26" s="19">
        <v>0.56999999999999995</v>
      </c>
      <c r="K26" s="19">
        <v>0.56999999999999995</v>
      </c>
      <c r="L26" s="19">
        <v>1.8779999999999999</v>
      </c>
      <c r="M26" s="19">
        <v>0.70899999999999996</v>
      </c>
      <c r="N26" s="19">
        <v>1.4550000000000001</v>
      </c>
      <c r="O26" s="19">
        <v>0.65500000000000003</v>
      </c>
      <c r="P26" s="19">
        <v>1.27</v>
      </c>
      <c r="Q26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1.0171249999999998</v>
      </c>
      <c r="R26" s="38">
        <v>1</v>
      </c>
      <c r="S26" s="37"/>
      <c r="T26" s="40">
        <v>1</v>
      </c>
      <c r="U26" s="19">
        <f>IFERROR(Tabela14[[#This Row],[Tméd (s)]]/Tabela14[[#This Row],[Frequência]],"")</f>
        <v>1.0171249999999998</v>
      </c>
    </row>
    <row r="27" spans="1:38" x14ac:dyDescent="0.25">
      <c r="B27" t="s">
        <v>148</v>
      </c>
      <c r="C27" s="16" t="s">
        <v>31</v>
      </c>
      <c r="D27" t="s">
        <v>97</v>
      </c>
      <c r="E27" s="25" t="s">
        <v>74</v>
      </c>
      <c r="F27" s="27" t="s">
        <v>36</v>
      </c>
      <c r="G27" s="19">
        <v>2.13</v>
      </c>
      <c r="H27" s="19">
        <v>1.83</v>
      </c>
      <c r="I27" s="19">
        <v>2.8</v>
      </c>
      <c r="J27" s="19">
        <v>2</v>
      </c>
      <c r="K27" s="19">
        <v>1.73</v>
      </c>
      <c r="L27" s="19">
        <v>1.8620000000000001</v>
      </c>
      <c r="M27" s="19">
        <v>2.1840000000000002</v>
      </c>
      <c r="N27" s="19">
        <v>1.7470000000000001</v>
      </c>
      <c r="O27" s="19">
        <v>1.7430000000000001</v>
      </c>
      <c r="P27" s="19">
        <v>2.0049999999999999</v>
      </c>
      <c r="Q27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1.9376249999999997</v>
      </c>
      <c r="R27" s="38">
        <v>1</v>
      </c>
      <c r="S27" s="37"/>
      <c r="T27" s="40">
        <v>1</v>
      </c>
      <c r="U27" s="19">
        <f>IFERROR(Tabela14[[#This Row],[Tméd (s)]]/Tabela14[[#This Row],[Frequência]],"")</f>
        <v>1.9376249999999997</v>
      </c>
    </row>
    <row r="28" spans="1:38" x14ac:dyDescent="0.25">
      <c r="B28" t="s">
        <v>148</v>
      </c>
      <c r="C28" s="16" t="s">
        <v>31</v>
      </c>
      <c r="D28" t="s">
        <v>98</v>
      </c>
      <c r="E28" s="25" t="s">
        <v>74</v>
      </c>
      <c r="F28" s="27" t="s">
        <v>37</v>
      </c>
      <c r="G28" s="19">
        <v>0.67</v>
      </c>
      <c r="H28" s="19">
        <v>0.56999999999999995</v>
      </c>
      <c r="I28" s="19">
        <v>0.56999999999999995</v>
      </c>
      <c r="J28" s="19">
        <v>0.56999999999999995</v>
      </c>
      <c r="K28" s="19">
        <v>0.43</v>
      </c>
      <c r="L28" s="19">
        <v>0.51300000000000001</v>
      </c>
      <c r="M28" s="19">
        <v>0.53400000000000003</v>
      </c>
      <c r="N28" s="19">
        <v>0.49299999999999999</v>
      </c>
      <c r="O28" s="19">
        <v>0.49299999999999999</v>
      </c>
      <c r="P28" s="19">
        <v>0.51800000000000002</v>
      </c>
      <c r="Q28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0.53262500000000013</v>
      </c>
      <c r="R28" s="38">
        <v>1</v>
      </c>
      <c r="S28" s="37"/>
      <c r="T28" s="40">
        <v>1</v>
      </c>
      <c r="U28" s="19">
        <f>IFERROR(Tabela14[[#This Row],[Tméd (s)]]/Tabela14[[#This Row],[Frequência]],"")</f>
        <v>0.53262500000000013</v>
      </c>
    </row>
    <row r="29" spans="1:38" x14ac:dyDescent="0.25">
      <c r="A29" t="s">
        <v>135</v>
      </c>
      <c r="B29" t="s">
        <v>148</v>
      </c>
      <c r="C29" s="16" t="s">
        <v>31</v>
      </c>
      <c r="D29" t="s">
        <v>99</v>
      </c>
      <c r="E29" s="25" t="s">
        <v>74</v>
      </c>
      <c r="F29" s="27" t="s">
        <v>38</v>
      </c>
      <c r="G29" s="19">
        <v>2.13</v>
      </c>
      <c r="H29" s="19">
        <v>0.4</v>
      </c>
      <c r="I29" s="19">
        <v>0.63</v>
      </c>
      <c r="J29" s="19">
        <v>0.56999999999999995</v>
      </c>
      <c r="K29" s="19">
        <v>2.13</v>
      </c>
      <c r="L29" s="19">
        <v>1.115</v>
      </c>
      <c r="M29" s="19">
        <v>1.661</v>
      </c>
      <c r="N29" s="19">
        <v>1.3919999999999999</v>
      </c>
      <c r="O29" s="19">
        <v>0.76800000000000002</v>
      </c>
      <c r="P29" s="19">
        <v>2.048</v>
      </c>
      <c r="Q29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1.2892499999999998</v>
      </c>
      <c r="R29" s="38">
        <v>1</v>
      </c>
      <c r="S29" s="37"/>
      <c r="T29" s="40">
        <v>1</v>
      </c>
      <c r="U29" s="19"/>
    </row>
    <row r="30" spans="1:38" x14ac:dyDescent="0.25">
      <c r="A30" t="s">
        <v>135</v>
      </c>
      <c r="B30" t="s">
        <v>148</v>
      </c>
      <c r="C30" s="16" t="s">
        <v>31</v>
      </c>
      <c r="D30" t="s">
        <v>100</v>
      </c>
      <c r="E30" s="25" t="s">
        <v>74</v>
      </c>
      <c r="F30" s="27" t="s">
        <v>38</v>
      </c>
      <c r="G30" s="19">
        <v>6</v>
      </c>
      <c r="H30" s="19"/>
      <c r="I30" s="19"/>
      <c r="J30" s="19"/>
      <c r="K30" s="19"/>
      <c r="L30" s="19"/>
      <c r="M30" s="19"/>
      <c r="N30" s="19"/>
      <c r="O30" s="19"/>
      <c r="P30" s="19"/>
      <c r="Q30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6</v>
      </c>
      <c r="R30" s="38">
        <v>1</v>
      </c>
      <c r="S30" s="37"/>
      <c r="T30" s="40">
        <v>10</v>
      </c>
      <c r="U30" s="19"/>
    </row>
    <row r="31" spans="1:38" x14ac:dyDescent="0.25">
      <c r="B31" t="s">
        <v>148</v>
      </c>
      <c r="C31" s="16" t="s">
        <v>31</v>
      </c>
      <c r="D31" t="s">
        <v>101</v>
      </c>
      <c r="E31" s="25" t="s">
        <v>74</v>
      </c>
      <c r="F31" s="27" t="s">
        <v>38</v>
      </c>
      <c r="G31" s="19">
        <v>100</v>
      </c>
      <c r="H31" s="19"/>
      <c r="I31" s="19"/>
      <c r="J31" s="19"/>
      <c r="K31" s="19"/>
      <c r="L31" s="19"/>
      <c r="M31" s="19"/>
      <c r="N31" s="19"/>
      <c r="O31" s="19"/>
      <c r="P31" s="19"/>
      <c r="Q31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100</v>
      </c>
      <c r="R31" s="38">
        <v>1</v>
      </c>
      <c r="S31" s="37"/>
      <c r="T31" s="40">
        <v>100</v>
      </c>
      <c r="U31" s="19">
        <f>IFERROR(Tabela14[[#This Row],[Tméd (s)]]/Tabela14[[#This Row],[Frequência]],"")</f>
        <v>1</v>
      </c>
    </row>
    <row r="32" spans="1:38" x14ac:dyDescent="0.25">
      <c r="B32" t="s">
        <v>148</v>
      </c>
      <c r="C32" s="16" t="s">
        <v>31</v>
      </c>
      <c r="D32" t="s">
        <v>104</v>
      </c>
      <c r="E32" s="25" t="s">
        <v>74</v>
      </c>
      <c r="F32" s="27" t="s">
        <v>37</v>
      </c>
      <c r="G32" s="19">
        <v>0.8</v>
      </c>
      <c r="H32" s="19"/>
      <c r="I32" s="19"/>
      <c r="J32" s="19"/>
      <c r="K32" s="19"/>
      <c r="L32" s="19"/>
      <c r="M32" s="19"/>
      <c r="N32" s="19"/>
      <c r="O32" s="19"/>
      <c r="P32" s="19"/>
      <c r="Q32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0.8</v>
      </c>
      <c r="R32" s="38">
        <v>1</v>
      </c>
      <c r="S32" s="37"/>
      <c r="T32" s="40">
        <v>18</v>
      </c>
      <c r="U32" s="19">
        <f>IFERROR(Tabela14[[#This Row],[Tméd (s)]]/Tabela14[[#This Row],[Frequência]],"")</f>
        <v>4.4444444444444446E-2</v>
      </c>
    </row>
    <row r="33" spans="1:21" x14ac:dyDescent="0.25">
      <c r="B33" t="s">
        <v>148</v>
      </c>
      <c r="C33" s="16" t="s">
        <v>31</v>
      </c>
      <c r="D33" t="s">
        <v>105</v>
      </c>
      <c r="E33" s="25" t="s">
        <v>74</v>
      </c>
      <c r="F33" s="27" t="s">
        <v>37</v>
      </c>
      <c r="G33" s="19">
        <v>1.03</v>
      </c>
      <c r="H33" s="19"/>
      <c r="I33" s="19"/>
      <c r="J33" s="19"/>
      <c r="K33" s="19"/>
      <c r="L33" s="19"/>
      <c r="M33" s="19"/>
      <c r="N33" s="19"/>
      <c r="O33" s="19"/>
      <c r="P33" s="19"/>
      <c r="Q33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1.03</v>
      </c>
      <c r="R33" s="38">
        <v>1</v>
      </c>
      <c r="S33" s="37"/>
      <c r="T33" s="40">
        <v>18</v>
      </c>
      <c r="U33" s="19">
        <f>IFERROR(Tabela14[[#This Row],[Tméd (s)]]/Tabela14[[#This Row],[Frequência]],"")</f>
        <v>5.7222222222222223E-2</v>
      </c>
    </row>
    <row r="34" spans="1:21" x14ac:dyDescent="0.25">
      <c r="B34" t="s">
        <v>148</v>
      </c>
      <c r="C34" s="16" t="s">
        <v>31</v>
      </c>
      <c r="D34" t="s">
        <v>106</v>
      </c>
      <c r="E34" s="25" t="s">
        <v>74</v>
      </c>
      <c r="F34" s="27" t="s">
        <v>38</v>
      </c>
      <c r="G34" s="19">
        <v>1.7</v>
      </c>
      <c r="H34" s="19"/>
      <c r="I34" s="19"/>
      <c r="J34" s="19"/>
      <c r="K34" s="19"/>
      <c r="L34" s="19"/>
      <c r="M34" s="19"/>
      <c r="N34" s="19"/>
      <c r="O34" s="19"/>
      <c r="P34" s="19"/>
      <c r="Q34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1.7</v>
      </c>
      <c r="R34" s="38">
        <v>1</v>
      </c>
      <c r="S34" s="37"/>
      <c r="T34" s="40">
        <v>18</v>
      </c>
      <c r="U34" s="19">
        <f>IFERROR(Tabela14[[#This Row],[Tméd (s)]]/Tabela14[[#This Row],[Frequência]],"")</f>
        <v>9.4444444444444442E-2</v>
      </c>
    </row>
    <row r="35" spans="1:21" x14ac:dyDescent="0.25">
      <c r="A35" t="s">
        <v>135</v>
      </c>
      <c r="B35" t="s">
        <v>148</v>
      </c>
      <c r="C35" s="16" t="s">
        <v>31</v>
      </c>
      <c r="D35" t="s">
        <v>107</v>
      </c>
      <c r="E35" s="25" t="s">
        <v>74</v>
      </c>
      <c r="F35" s="27" t="s">
        <v>38</v>
      </c>
      <c r="G35" s="19">
        <v>0.73</v>
      </c>
      <c r="H35" s="19"/>
      <c r="I35" s="19"/>
      <c r="J35" s="19"/>
      <c r="K35" s="19"/>
      <c r="L35" s="19"/>
      <c r="M35" s="19"/>
      <c r="N35" s="19"/>
      <c r="O35" s="19"/>
      <c r="P35" s="19"/>
      <c r="Q35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0.73</v>
      </c>
      <c r="R35" s="38">
        <v>1</v>
      </c>
      <c r="S35" s="37"/>
      <c r="T35" s="40">
        <v>18</v>
      </c>
      <c r="U35" s="19"/>
    </row>
    <row r="36" spans="1:21" x14ac:dyDescent="0.25">
      <c r="A36" t="s">
        <v>135</v>
      </c>
      <c r="B36" t="s">
        <v>148</v>
      </c>
      <c r="C36" s="16" t="s">
        <v>31</v>
      </c>
      <c r="D36" t="s">
        <v>108</v>
      </c>
      <c r="E36" s="25" t="s">
        <v>74</v>
      </c>
      <c r="F36" s="27" t="s">
        <v>37</v>
      </c>
      <c r="G36" s="19">
        <v>1.47</v>
      </c>
      <c r="H36" s="19"/>
      <c r="I36" s="19"/>
      <c r="J36" s="19"/>
      <c r="K36" s="19"/>
      <c r="L36" s="19"/>
      <c r="M36" s="19"/>
      <c r="N36" s="19"/>
      <c r="O36" s="19"/>
      <c r="P36" s="19"/>
      <c r="Q36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1.47</v>
      </c>
      <c r="R36" s="38">
        <v>1</v>
      </c>
      <c r="S36" s="37"/>
      <c r="T36" s="40">
        <v>18</v>
      </c>
      <c r="U36" s="19"/>
    </row>
    <row r="37" spans="1:21" x14ac:dyDescent="0.25">
      <c r="A37" t="s">
        <v>135</v>
      </c>
      <c r="B37" t="s">
        <v>148</v>
      </c>
      <c r="C37" s="16" t="s">
        <v>31</v>
      </c>
      <c r="D37" t="s">
        <v>110</v>
      </c>
      <c r="E37" s="25" t="s">
        <v>74</v>
      </c>
      <c r="F37" s="27" t="s">
        <v>38</v>
      </c>
      <c r="G37" s="19">
        <v>1</v>
      </c>
      <c r="H37" s="19"/>
      <c r="I37" s="19"/>
      <c r="J37" s="19"/>
      <c r="K37" s="19"/>
      <c r="L37" s="19"/>
      <c r="M37" s="19"/>
      <c r="N37" s="19"/>
      <c r="O37" s="19"/>
      <c r="P37" s="19"/>
      <c r="Q37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</v>
      </c>
      <c r="R37" s="38">
        <v>1</v>
      </c>
      <c r="S37" s="37"/>
      <c r="T37" s="40">
        <v>18</v>
      </c>
      <c r="U37" s="19"/>
    </row>
    <row r="38" spans="1:21" x14ac:dyDescent="0.25">
      <c r="B38" t="s">
        <v>148</v>
      </c>
      <c r="C38" s="16" t="s">
        <v>31</v>
      </c>
      <c r="D38" t="s">
        <v>109</v>
      </c>
      <c r="E38" s="25" t="s">
        <v>74</v>
      </c>
      <c r="F38" s="27" t="s">
        <v>38</v>
      </c>
      <c r="G38" s="19">
        <v>2.2000000000000002</v>
      </c>
      <c r="H38" s="19"/>
      <c r="I38" s="19"/>
      <c r="J38" s="19"/>
      <c r="K38" s="19"/>
      <c r="L38" s="19"/>
      <c r="M38" s="19"/>
      <c r="N38" s="19"/>
      <c r="O38" s="19"/>
      <c r="P38" s="19"/>
      <c r="Q38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2.2000000000000002</v>
      </c>
      <c r="R38" s="38">
        <v>1</v>
      </c>
      <c r="S38" s="37"/>
      <c r="T38" s="40">
        <v>18</v>
      </c>
      <c r="U38" s="19">
        <f>IFERROR(Tabela14[[#This Row],[Tméd (s)]]/Tabela14[[#This Row],[Frequência]],"")</f>
        <v>0.12222222222222223</v>
      </c>
    </row>
    <row r="39" spans="1:21" x14ac:dyDescent="0.25">
      <c r="B39" t="s">
        <v>148</v>
      </c>
      <c r="C39" s="16" t="s">
        <v>31</v>
      </c>
      <c r="D39" t="s">
        <v>111</v>
      </c>
      <c r="E39" s="25" t="s">
        <v>74</v>
      </c>
      <c r="F39" s="27" t="s">
        <v>37</v>
      </c>
      <c r="G39" s="19">
        <v>14</v>
      </c>
      <c r="H39" s="19"/>
      <c r="I39" s="19"/>
      <c r="J39" s="19"/>
      <c r="K39" s="19"/>
      <c r="L39" s="19"/>
      <c r="M39" s="19"/>
      <c r="N39" s="19"/>
      <c r="O39" s="19"/>
      <c r="P39" s="19"/>
      <c r="Q39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14</v>
      </c>
      <c r="R39" s="38">
        <v>1</v>
      </c>
      <c r="S39" s="37"/>
      <c r="T39" s="40">
        <v>18</v>
      </c>
      <c r="U39" s="19">
        <f>IFERROR(Tabela14[[#This Row],[Tméd (s)]]/Tabela14[[#This Row],[Frequência]],"")</f>
        <v>0.77777777777777779</v>
      </c>
    </row>
    <row r="40" spans="1:21" x14ac:dyDescent="0.25">
      <c r="B40" t="s">
        <v>148</v>
      </c>
      <c r="C40" s="16" t="s">
        <v>31</v>
      </c>
      <c r="D40" t="s">
        <v>112</v>
      </c>
      <c r="E40" s="25" t="s">
        <v>74</v>
      </c>
      <c r="F40" s="27" t="s">
        <v>37</v>
      </c>
      <c r="G40" s="19">
        <v>2.4700000000000002</v>
      </c>
      <c r="H40" s="19"/>
      <c r="I40" s="19"/>
      <c r="J40" s="19"/>
      <c r="K40" s="19"/>
      <c r="L40" s="19"/>
      <c r="M40" s="19"/>
      <c r="N40" s="19"/>
      <c r="O40" s="19"/>
      <c r="P40" s="19"/>
      <c r="Q40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2.4700000000000002</v>
      </c>
      <c r="R40" s="38">
        <v>1</v>
      </c>
      <c r="S40" s="37"/>
      <c r="T40" s="40">
        <v>18</v>
      </c>
      <c r="U40" s="19">
        <f>IFERROR(Tabela14[[#This Row],[Tméd (s)]]/Tabela14[[#This Row],[Frequência]],"")</f>
        <v>0.13722222222222225</v>
      </c>
    </row>
    <row r="41" spans="1:21" x14ac:dyDescent="0.25">
      <c r="A41" t="s">
        <v>135</v>
      </c>
      <c r="B41" t="s">
        <v>148</v>
      </c>
      <c r="C41" s="16" t="s">
        <v>31</v>
      </c>
      <c r="D41" t="s">
        <v>113</v>
      </c>
      <c r="E41" s="25" t="s">
        <v>74</v>
      </c>
      <c r="F41" s="27" t="s">
        <v>37</v>
      </c>
      <c r="G41" s="19">
        <v>1.2</v>
      </c>
      <c r="H41" s="19"/>
      <c r="I41" s="19"/>
      <c r="J41" s="19"/>
      <c r="K41" s="19"/>
      <c r="L41" s="19"/>
      <c r="M41" s="19"/>
      <c r="N41" s="19"/>
      <c r="O41" s="19"/>
      <c r="P41" s="19"/>
      <c r="Q41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1.2</v>
      </c>
      <c r="R41" s="38">
        <v>1</v>
      </c>
      <c r="S41" s="37"/>
      <c r="T41" s="40">
        <v>18</v>
      </c>
      <c r="U41" s="19"/>
    </row>
    <row r="42" spans="1:21" x14ac:dyDescent="0.25">
      <c r="A42" t="s">
        <v>135</v>
      </c>
      <c r="B42" t="s">
        <v>148</v>
      </c>
      <c r="C42" s="16" t="s">
        <v>31</v>
      </c>
      <c r="D42" t="s">
        <v>114</v>
      </c>
      <c r="E42" s="25" t="s">
        <v>74</v>
      </c>
      <c r="F42" s="27" t="s">
        <v>37</v>
      </c>
      <c r="G42" s="19">
        <v>1.07</v>
      </c>
      <c r="H42" s="19"/>
      <c r="I42" s="19"/>
      <c r="J42" s="19"/>
      <c r="K42" s="19"/>
      <c r="L42" s="19"/>
      <c r="M42" s="19"/>
      <c r="N42" s="19"/>
      <c r="O42" s="19"/>
      <c r="P42" s="19"/>
      <c r="Q42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1.07</v>
      </c>
      <c r="R42" s="38">
        <v>1</v>
      </c>
      <c r="S42" s="37"/>
      <c r="T42" s="40">
        <v>18</v>
      </c>
      <c r="U42" s="19"/>
    </row>
    <row r="43" spans="1:21" x14ac:dyDescent="0.25">
      <c r="A43" t="s">
        <v>135</v>
      </c>
      <c r="B43" t="s">
        <v>148</v>
      </c>
      <c r="C43" s="16" t="s">
        <v>31</v>
      </c>
      <c r="D43" t="s">
        <v>110</v>
      </c>
      <c r="E43" s="25" t="s">
        <v>74</v>
      </c>
      <c r="F43" s="27" t="s">
        <v>38</v>
      </c>
      <c r="G43" s="19">
        <v>0.83</v>
      </c>
      <c r="H43" s="19"/>
      <c r="I43" s="19"/>
      <c r="J43" s="19"/>
      <c r="K43" s="19"/>
      <c r="L43" s="19"/>
      <c r="M43" s="19"/>
      <c r="N43" s="19"/>
      <c r="O43" s="19"/>
      <c r="P43" s="19"/>
      <c r="Q43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0.83</v>
      </c>
      <c r="R43" s="38">
        <v>1</v>
      </c>
      <c r="S43" s="37"/>
      <c r="T43" s="40">
        <v>18</v>
      </c>
      <c r="U43" s="19"/>
    </row>
    <row r="44" spans="1:21" x14ac:dyDescent="0.25">
      <c r="B44" t="s">
        <v>148</v>
      </c>
      <c r="C44" s="16" t="s">
        <v>31</v>
      </c>
      <c r="D44" t="s">
        <v>115</v>
      </c>
      <c r="E44" s="25" t="s">
        <v>74</v>
      </c>
      <c r="F44" s="27" t="s">
        <v>38</v>
      </c>
      <c r="G44" s="19">
        <v>0.93</v>
      </c>
      <c r="H44" s="19"/>
      <c r="I44" s="19"/>
      <c r="J44" s="19"/>
      <c r="K44" s="19"/>
      <c r="L44" s="19"/>
      <c r="M44" s="19"/>
      <c r="N44" s="19"/>
      <c r="O44" s="19"/>
      <c r="P44" s="19"/>
      <c r="Q44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0.93</v>
      </c>
      <c r="R44" s="38">
        <v>1</v>
      </c>
      <c r="S44" s="37"/>
      <c r="T44" s="40">
        <v>18</v>
      </c>
      <c r="U44" s="19">
        <f>IFERROR(Tabela14[[#This Row],[Tméd (s)]]/Tabela14[[#This Row],[Frequência]],"")</f>
        <v>5.1666666666666666E-2</v>
      </c>
    </row>
    <row r="45" spans="1:21" x14ac:dyDescent="0.25">
      <c r="B45" t="s">
        <v>148</v>
      </c>
      <c r="C45" s="16" t="s">
        <v>31</v>
      </c>
      <c r="D45" t="s">
        <v>116</v>
      </c>
      <c r="E45" s="25" t="s">
        <v>74</v>
      </c>
      <c r="F45" s="27" t="s">
        <v>37</v>
      </c>
      <c r="G45" s="19">
        <v>4.87</v>
      </c>
      <c r="H45" s="19"/>
      <c r="I45" s="19"/>
      <c r="J45" s="19"/>
      <c r="K45" s="19"/>
      <c r="L45" s="19"/>
      <c r="M45" s="19"/>
      <c r="N45" s="19"/>
      <c r="O45" s="19"/>
      <c r="P45" s="19"/>
      <c r="Q45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4.87</v>
      </c>
      <c r="R45" s="38">
        <v>1</v>
      </c>
      <c r="S45" s="37"/>
      <c r="T45" s="40">
        <v>18</v>
      </c>
      <c r="U45" s="19">
        <f>IFERROR(Tabela14[[#This Row],[Tméd (s)]]/Tabela14[[#This Row],[Frequência]],"")</f>
        <v>0.27055555555555555</v>
      </c>
    </row>
    <row r="46" spans="1:21" x14ac:dyDescent="0.25">
      <c r="A46" t="s">
        <v>135</v>
      </c>
      <c r="B46" t="s">
        <v>148</v>
      </c>
      <c r="C46" s="16" t="s">
        <v>31</v>
      </c>
      <c r="D46" t="s">
        <v>117</v>
      </c>
      <c r="E46" s="25" t="s">
        <v>74</v>
      </c>
      <c r="F46" s="27" t="s">
        <v>38</v>
      </c>
      <c r="G46" s="19">
        <v>3.6</v>
      </c>
      <c r="H46" s="19"/>
      <c r="I46" s="19"/>
      <c r="J46" s="19"/>
      <c r="K46" s="19"/>
      <c r="L46" s="19"/>
      <c r="M46" s="19"/>
      <c r="N46" s="19"/>
      <c r="O46" s="19"/>
      <c r="P46" s="19"/>
      <c r="Q46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3.6</v>
      </c>
      <c r="R46" s="38">
        <v>1</v>
      </c>
      <c r="S46" s="37"/>
      <c r="T46" s="40">
        <v>18</v>
      </c>
      <c r="U46" s="19"/>
    </row>
    <row r="47" spans="1:21" x14ac:dyDescent="0.25">
      <c r="B47" t="s">
        <v>148</v>
      </c>
      <c r="C47" s="16" t="s">
        <v>31</v>
      </c>
      <c r="D47" t="s">
        <v>118</v>
      </c>
      <c r="E47" s="25" t="s">
        <v>74</v>
      </c>
      <c r="F47" s="27" t="s">
        <v>38</v>
      </c>
      <c r="G47" s="19">
        <v>1.06</v>
      </c>
      <c r="H47" s="19"/>
      <c r="I47" s="19"/>
      <c r="J47" s="19"/>
      <c r="K47" s="19"/>
      <c r="L47" s="19"/>
      <c r="M47" s="19"/>
      <c r="N47" s="19"/>
      <c r="O47" s="19"/>
      <c r="P47" s="19"/>
      <c r="Q47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1.06</v>
      </c>
      <c r="R47" s="38">
        <v>1</v>
      </c>
      <c r="S47" s="37"/>
      <c r="T47" s="40">
        <v>18</v>
      </c>
      <c r="U47" s="19">
        <f>IFERROR(Tabela14[[#This Row],[Tméd (s)]]/Tabela14[[#This Row],[Frequência]],"")</f>
        <v>5.8888888888888893E-2</v>
      </c>
    </row>
    <row r="48" spans="1:21" x14ac:dyDescent="0.25">
      <c r="B48" t="s">
        <v>148</v>
      </c>
      <c r="C48" s="16" t="s">
        <v>31</v>
      </c>
      <c r="D48" t="s">
        <v>119</v>
      </c>
      <c r="E48" s="25" t="s">
        <v>74</v>
      </c>
      <c r="F48" s="27" t="s">
        <v>37</v>
      </c>
      <c r="G48" s="19">
        <v>100</v>
      </c>
      <c r="H48" s="19"/>
      <c r="I48" s="19"/>
      <c r="J48" s="19"/>
      <c r="K48" s="19"/>
      <c r="L48" s="19"/>
      <c r="M48" s="19"/>
      <c r="N48" s="19"/>
      <c r="O48" s="19"/>
      <c r="P48" s="19"/>
      <c r="Q48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100</v>
      </c>
      <c r="R48" s="38">
        <v>1</v>
      </c>
      <c r="S48" s="37"/>
      <c r="T48" s="40">
        <v>90</v>
      </c>
      <c r="U48" s="19">
        <f>IFERROR(Tabela14[[#This Row],[Tméd (s)]]/Tabela14[[#This Row],[Frequência]],"")</f>
        <v>1.1111111111111112</v>
      </c>
    </row>
    <row r="49" spans="2:21" x14ac:dyDescent="0.25">
      <c r="B49" t="s">
        <v>148</v>
      </c>
      <c r="C49" s="16" t="s">
        <v>31</v>
      </c>
      <c r="D49" t="s">
        <v>120</v>
      </c>
      <c r="E49" s="25" t="s">
        <v>74</v>
      </c>
      <c r="F49" s="27" t="s">
        <v>37</v>
      </c>
      <c r="G49" s="19">
        <v>0.83</v>
      </c>
      <c r="H49" s="19">
        <v>1.4</v>
      </c>
      <c r="I49" s="19">
        <v>0.9</v>
      </c>
      <c r="J49" s="19">
        <v>0.87</v>
      </c>
      <c r="K49" s="19">
        <v>0.87</v>
      </c>
      <c r="L49" s="19">
        <v>0.83919049771573351</v>
      </c>
      <c r="M49" s="19">
        <v>1.1860711679924729</v>
      </c>
      <c r="N49" s="19">
        <v>1.159219042965945</v>
      </c>
      <c r="O49" s="19">
        <v>0.90109433117876148</v>
      </c>
      <c r="P49" s="19">
        <v>0.87790577260296521</v>
      </c>
      <c r="Q49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0.95043510155698474</v>
      </c>
      <c r="R49" s="38">
        <v>1</v>
      </c>
      <c r="S49" s="37"/>
      <c r="T49" s="40">
        <v>1</v>
      </c>
      <c r="U49" s="19">
        <f>IFERROR(Tabela14[[#This Row],[Tméd (s)]]/Tabela14[[#This Row],[Frequência]],"")</f>
        <v>0.95043510155698474</v>
      </c>
    </row>
    <row r="50" spans="2:21" x14ac:dyDescent="0.25">
      <c r="B50" t="s">
        <v>148</v>
      </c>
      <c r="C50" s="16" t="s">
        <v>31</v>
      </c>
      <c r="D50" t="s">
        <v>121</v>
      </c>
      <c r="E50" s="25" t="s">
        <v>74</v>
      </c>
      <c r="F50" s="27" t="s">
        <v>38</v>
      </c>
      <c r="G50" s="19">
        <v>2.5</v>
      </c>
      <c r="H50" s="19"/>
      <c r="I50" s="19"/>
      <c r="J50" s="19"/>
      <c r="K50" s="19"/>
      <c r="L50" s="19"/>
      <c r="M50" s="19"/>
      <c r="N50" s="19"/>
      <c r="O50" s="19"/>
      <c r="P50" s="19"/>
      <c r="Q50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2.5</v>
      </c>
      <c r="R50" s="38">
        <v>1</v>
      </c>
      <c r="S50" s="37"/>
      <c r="T50" s="40">
        <v>50</v>
      </c>
      <c r="U50" s="19">
        <f>IFERROR(Tabela14[[#This Row],[Tméd (s)]]/Tabela14[[#This Row],[Frequência]],"")</f>
        <v>0.05</v>
      </c>
    </row>
    <row r="51" spans="2:21" x14ac:dyDescent="0.25">
      <c r="B51" t="s">
        <v>148</v>
      </c>
      <c r="C51" s="16" t="s">
        <v>31</v>
      </c>
      <c r="D51" t="s">
        <v>122</v>
      </c>
      <c r="E51" s="25" t="s">
        <v>74</v>
      </c>
      <c r="F51" s="27" t="s">
        <v>38</v>
      </c>
      <c r="G51" s="19">
        <v>12</v>
      </c>
      <c r="H51" s="19"/>
      <c r="I51" s="19"/>
      <c r="J51" s="19"/>
      <c r="K51" s="19"/>
      <c r="L51" s="19"/>
      <c r="M51" s="19"/>
      <c r="N51" s="19"/>
      <c r="O51" s="19"/>
      <c r="P51" s="19"/>
      <c r="Q51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12</v>
      </c>
      <c r="R51" s="38">
        <v>1</v>
      </c>
      <c r="S51" s="37"/>
      <c r="T51" s="40">
        <v>50</v>
      </c>
      <c r="U51" s="19">
        <f>IFERROR(Tabela14[[#This Row],[Tméd (s)]]/Tabela14[[#This Row],[Frequência]],"")</f>
        <v>0.24</v>
      </c>
    </row>
    <row r="52" spans="2:21" x14ac:dyDescent="0.25">
      <c r="B52" t="s">
        <v>148</v>
      </c>
      <c r="C52" s="16" t="s">
        <v>31</v>
      </c>
      <c r="D52" t="s">
        <v>123</v>
      </c>
      <c r="E52" s="25" t="s">
        <v>74</v>
      </c>
      <c r="F52" s="27" t="s">
        <v>38</v>
      </c>
      <c r="G52" s="19">
        <v>13</v>
      </c>
      <c r="H52" s="19"/>
      <c r="I52" s="19"/>
      <c r="J52" s="19"/>
      <c r="K52" s="19"/>
      <c r="L52" s="19"/>
      <c r="M52" s="19"/>
      <c r="N52" s="19"/>
      <c r="O52" s="19"/>
      <c r="P52" s="19"/>
      <c r="Q52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13</v>
      </c>
      <c r="R52" s="38">
        <v>1</v>
      </c>
      <c r="S52" s="37"/>
      <c r="T52" s="40">
        <v>50</v>
      </c>
      <c r="U52" s="19">
        <f>IFERROR(Tabela14[[#This Row],[Tméd (s)]]/Tabela14[[#This Row],[Frequência]],"")</f>
        <v>0.26</v>
      </c>
    </row>
    <row r="53" spans="2:21" x14ac:dyDescent="0.25">
      <c r="B53" t="s">
        <v>148</v>
      </c>
      <c r="C53" s="16" t="s">
        <v>31</v>
      </c>
      <c r="D53" t="s">
        <v>136</v>
      </c>
      <c r="E53" s="25" t="s">
        <v>74</v>
      </c>
      <c r="F53" s="27" t="s">
        <v>37</v>
      </c>
      <c r="G53" s="19">
        <v>120</v>
      </c>
      <c r="H53" s="19"/>
      <c r="I53" s="19"/>
      <c r="J53" s="19"/>
      <c r="K53" s="19"/>
      <c r="L53" s="19"/>
      <c r="M53" s="19"/>
      <c r="N53" s="19"/>
      <c r="O53" s="19"/>
      <c r="P53" s="19"/>
      <c r="Q53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120</v>
      </c>
      <c r="R53" s="38">
        <v>1</v>
      </c>
      <c r="S53" s="37"/>
      <c r="T53" s="40">
        <v>450</v>
      </c>
      <c r="U53" s="19">
        <f>IFERROR(Tabela14[[#This Row],[Tméd (s)]]/Tabela14[[#This Row],[Frequência]],"")</f>
        <v>0.26666666666666666</v>
      </c>
    </row>
    <row r="54" spans="2:21" x14ac:dyDescent="0.25">
      <c r="B54" t="s">
        <v>86</v>
      </c>
      <c r="C54" s="16" t="s">
        <v>29</v>
      </c>
      <c r="D54" t="s">
        <v>139</v>
      </c>
      <c r="E54" s="25" t="s">
        <v>74</v>
      </c>
      <c r="F54" s="27" t="s">
        <v>37</v>
      </c>
      <c r="G54" s="19">
        <v>120</v>
      </c>
      <c r="H54" s="19"/>
      <c r="I54" s="19"/>
      <c r="J54" s="19"/>
      <c r="K54" s="19"/>
      <c r="L54" s="19"/>
      <c r="M54" s="19"/>
      <c r="N54" s="19"/>
      <c r="O54" s="19"/>
      <c r="P54" s="19"/>
      <c r="Q54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120</v>
      </c>
      <c r="R54" s="38">
        <v>1</v>
      </c>
      <c r="S54" s="37"/>
      <c r="T54" s="40">
        <v>150</v>
      </c>
      <c r="U54" s="19">
        <f>IFERROR(Tabela14[[#This Row],[Tméd (s)]]/Tabela14[[#This Row],[Frequência]],"")</f>
        <v>0.8</v>
      </c>
    </row>
    <row r="55" spans="2:21" x14ac:dyDescent="0.25">
      <c r="B55" t="s">
        <v>86</v>
      </c>
      <c r="C55" s="16" t="s">
        <v>29</v>
      </c>
      <c r="D55" t="s">
        <v>140</v>
      </c>
      <c r="E55" s="25" t="s">
        <v>74</v>
      </c>
      <c r="F55" s="27" t="s">
        <v>37</v>
      </c>
      <c r="G55" s="19">
        <v>120</v>
      </c>
      <c r="H55" s="19"/>
      <c r="I55" s="19"/>
      <c r="J55" s="19"/>
      <c r="K55" s="19"/>
      <c r="L55" s="19"/>
      <c r="M55" s="19"/>
      <c r="N55" s="19"/>
      <c r="O55" s="19"/>
      <c r="P55" s="19"/>
      <c r="Q55" s="18">
        <f>IFERROR(
  _xlfn.LET(
    _xlpm.dados, Tabela14[[#This Row],[A1 (s)]:[A10 (s)]],
    _xlpm.soma, SUM(_xlpm.dados),
    _xlpm.maior, LARGE(_xlpm.dados, 1),
    _xlpm.menor, SMALL(_xlpm.dados, 1),
    _xlpm.contagem, COUNTA(_xlpm.dados),
    _xlpm.media_ajustada, (_xlpm.soma - _xlpm.maior - _xlpm.menor) / (_xlpm.contagem - 2),
    _xlpm.media_ajustada
  ),
  ""
)</f>
        <v>120</v>
      </c>
      <c r="R55" s="38">
        <v>1</v>
      </c>
      <c r="S55" s="37"/>
      <c r="T55" s="40">
        <v>150</v>
      </c>
      <c r="U55" s="19">
        <f>IFERROR(Tabela14[[#This Row],[Tméd (s)]]/Tabela14[[#This Row],[Frequência]],"")</f>
        <v>0.8</v>
      </c>
    </row>
  </sheetData>
  <mergeCells count="12">
    <mergeCell ref="M5:N8"/>
    <mergeCell ref="A1:L1"/>
    <mergeCell ref="A2:B2"/>
    <mergeCell ref="C2:D2"/>
    <mergeCell ref="F2:G2"/>
    <mergeCell ref="H2:I2"/>
    <mergeCell ref="J2:L2"/>
    <mergeCell ref="A3:B3"/>
    <mergeCell ref="C3:D3"/>
    <mergeCell ref="F3:G3"/>
    <mergeCell ref="H3:I3"/>
    <mergeCell ref="J3:L3"/>
  </mergeCells>
  <conditionalFormatting sqref="A10:A55">
    <cfRule type="expression" dxfId="33" priority="2">
      <formula>$A10="Não"</formula>
    </cfRule>
  </conditionalFormatting>
  <conditionalFormatting sqref="M5:N8">
    <cfRule type="cellIs" dxfId="32" priority="1" operator="greaterThan">
      <formula>""""""</formula>
    </cfRule>
  </conditionalFormatting>
  <dataValidations disablePrompts="1" count="1">
    <dataValidation type="list" allowBlank="1" showInputMessage="1" showErrorMessage="1" sqref="E10:E55" xr:uid="{9D56FB25-25F7-46A4-BFB7-D520CADAD6E3}">
      <formula1>"TM,TMP,TMO,TOM"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27797-53C0-45C8-B75E-55C3DB7E669D}">
  <sheetPr codeName="Planilha6"/>
  <dimension ref="A1:G48"/>
  <sheetViews>
    <sheetView zoomScaleNormal="100" workbookViewId="0">
      <selection activeCell="D6" sqref="D6:F19"/>
    </sheetView>
  </sheetViews>
  <sheetFormatPr defaultRowHeight="15" x14ac:dyDescent="0.25"/>
  <cols>
    <col min="1" max="1" width="51.42578125" bestFit="1" customWidth="1"/>
    <col min="2" max="2" width="14" bestFit="1" customWidth="1"/>
    <col min="3" max="3" width="20" bestFit="1" customWidth="1"/>
    <col min="4" max="4" width="14.42578125" bestFit="1" customWidth="1"/>
    <col min="5" max="5" width="19.28515625" bestFit="1" customWidth="1"/>
    <col min="6" max="6" width="21.42578125" bestFit="1" customWidth="1"/>
    <col min="7" max="7" width="19.42578125" bestFit="1" customWidth="1"/>
  </cols>
  <sheetData>
    <row r="1" spans="1:7" x14ac:dyDescent="0.25">
      <c r="A1" s="32" t="s">
        <v>24</v>
      </c>
      <c r="B1" s="32" t="s">
        <v>25</v>
      </c>
      <c r="C1" s="32" t="s">
        <v>64</v>
      </c>
      <c r="D1" s="32" t="s">
        <v>39</v>
      </c>
      <c r="E1" s="32" t="s">
        <v>65</v>
      </c>
      <c r="F1" s="32" t="s">
        <v>66</v>
      </c>
      <c r="G1" s="32" t="s">
        <v>89</v>
      </c>
    </row>
    <row r="2" spans="1:7" x14ac:dyDescent="0.25">
      <c r="A2" s="35" t="s">
        <v>34</v>
      </c>
      <c r="B2" s="29" t="s">
        <v>28</v>
      </c>
      <c r="C2" s="34">
        <f>IF(Tabela46[[#This Row],[Nome da operação]]&lt;&gt;"",COUNTIF(Tabela1[ID],Tabela46[[#This Row],[Operador]]),"")</f>
        <v>6</v>
      </c>
      <c r="D2" s="31">
        <f>IF(Tabela46[[#This Row],[Nome da operação]]&lt;&gt;"",SUMIF(Tabela14[Nome da operação], A2, Tabela14[Tméd ajustado (s)]),"")</f>
        <v>5.3</v>
      </c>
      <c r="E2" s="31">
        <f>IF(Tabela46[[#This Row],[Nome da operação]]&lt;&gt;"",IF(Tabela46[[#This Row],[Movimentações]]&lt;10,Tabela46[[#This Row],[Tméd (s)]]*0.03,IF(Tabela46[[#This Row],[Movimentações]]&gt;10,Tabela46[[#This Row],[Tméd (s)]]*0.15,"ERRO")),"")</f>
        <v>0.159</v>
      </c>
      <c r="F2" s="31">
        <f>IF(Tabela46[[#This Row],[Nome da operação]]&lt;&gt;"",Tabela46[[#This Row],[Tméd (s)]]+Tabela46[[#This Row],[Coef. Fadiga (s)]],"")</f>
        <v>5.4589999999999996</v>
      </c>
      <c r="G2" s="39">
        <f>IFERROR((Tabela46[[#This Row],[Tméd (s)]]/Tabela46[[#This Row],[Tméd ajustado (s)]]-1)*-1,"")</f>
        <v>2.9126213592232997E-2</v>
      </c>
    </row>
    <row r="3" spans="1:7" x14ac:dyDescent="0.25">
      <c r="A3" s="35" t="s">
        <v>86</v>
      </c>
      <c r="B3" s="29" t="s">
        <v>29</v>
      </c>
      <c r="C3" s="34">
        <f>IF(Tabela46[[#This Row],[Nome da operação]]&lt;&gt;"",COUNTIF(Tabela1[ID],Tabela46[[#This Row],[Operador]]),"")</f>
        <v>7</v>
      </c>
      <c r="D3" s="31">
        <f>IF(Tabela46[[#This Row],[Nome da operação]]&lt;&gt;"",SUMIF(Tabela14[Nome da operação], A3, Tabela14[Tméd ajustado (s)]),"")</f>
        <v>5.5200000000000005</v>
      </c>
      <c r="E3" s="31">
        <f>IF(Tabela46[[#This Row],[Nome da operação]]&lt;&gt;"",IF(Tabela46[[#This Row],[Movimentações]]&lt;10,Tabela46[[#This Row],[Tméd (s)]]*0.03,IF(Tabela46[[#This Row],[Movimentações]]&gt;10,Tabela46[[#This Row],[Tméd (s)]]*0.15,"ERRO")),"")</f>
        <v>0.1656</v>
      </c>
      <c r="F3" s="31">
        <f>IF(Tabela46[[#This Row],[Nome da operação]]&lt;&gt;"",Tabela46[[#This Row],[Tméd (s)]]+Tabela46[[#This Row],[Coef. Fadiga (s)]],"")</f>
        <v>5.6856000000000009</v>
      </c>
      <c r="G3" s="39">
        <f>IFERROR((Tabela46[[#This Row],[Tméd (s)]]/Tabela46[[#This Row],[Tméd ajustado (s)]]-1)*-1,"")</f>
        <v>2.9126213592233108E-2</v>
      </c>
    </row>
    <row r="4" spans="1:7" x14ac:dyDescent="0.25">
      <c r="A4" s="35" t="s">
        <v>73</v>
      </c>
      <c r="B4" s="29" t="s">
        <v>30</v>
      </c>
      <c r="C4" s="34">
        <f>IF(Tabela46[[#This Row],[Nome da operação]]&lt;&gt;"",COUNTIF(Tabela1[ID],Tabela46[[#This Row],[Operador]]),"")</f>
        <v>4</v>
      </c>
      <c r="D4" s="31">
        <f>IF(Tabela46[[#This Row],[Nome da operação]]&lt;&gt;"",SUMIF(Tabela14[Nome da operação], A4, Tabela14[Tméd ajustado (s)]),"")</f>
        <v>3.5778333333333334</v>
      </c>
      <c r="E4" s="31">
        <f>IF(Tabela46[[#This Row],[Nome da operação]]&lt;&gt;"",IF(Tabela46[[#This Row],[Movimentações]]&lt;10,Tabela46[[#This Row],[Tméd (s)]]*0.05,IF(Tabela46[[#This Row],[Movimentações]]&gt;10,Tabela46[[#This Row],[Tméd (s)]]*0.15,"ERRO")),"")</f>
        <v>0.17889166666666667</v>
      </c>
      <c r="F4" s="31">
        <f>IF(Tabela46[[#This Row],[Nome da operação]]&lt;&gt;"",Tabela46[[#This Row],[Tméd (s)]]+Tabela46[[#This Row],[Coef. Fadiga (s)]],"")</f>
        <v>3.7567250000000003</v>
      </c>
      <c r="G4" s="39">
        <f>IFERROR((Tabela46[[#This Row],[Tméd (s)]]/Tabela46[[#This Row],[Tméd ajustado (s)]]-1)*-1,"")</f>
        <v>4.7619047619047672E-2</v>
      </c>
    </row>
    <row r="5" spans="1:7" x14ac:dyDescent="0.25">
      <c r="A5" s="35" t="s">
        <v>148</v>
      </c>
      <c r="B5" s="29" t="s">
        <v>31</v>
      </c>
      <c r="C5" s="34">
        <f>IF(Tabela46[[#This Row],[Nome da operação]]&lt;&gt;"",COUNTIF(Tabela1[ID],Tabela46[[#This Row],[Operador]]),"")</f>
        <v>7</v>
      </c>
      <c r="D5" s="31">
        <f>IF(Tabela46[[#This Row],[Nome da operação]]&lt;&gt;"",SUMIF(Tabela14[Nome da operação], A5, Tabela14[Tméd ajustado (s)]),"")</f>
        <v>9.8669073237792073</v>
      </c>
      <c r="E5" s="31">
        <f>IF(Tabela46[[#This Row],[Nome da operação]]&lt;&gt;"",IF(Tabela46[[#This Row],[Movimentações]]&lt;10,Tabela46[[#This Row],[Tméd (s)]]*0.03,IF(Tabela46[[#This Row],[Movimentações]]&gt;10,Tabela46[[#This Row],[Tméd (s)]]*0.15,"ERRO")),"")</f>
        <v>0.29600721971337624</v>
      </c>
      <c r="F5" s="31">
        <f>IF(Tabela46[[#This Row],[Nome da operação]]&lt;&gt;"",Tabela46[[#This Row],[Tméd (s)]]+Tabela46[[#This Row],[Coef. Fadiga (s)]],"")</f>
        <v>10.162914543492583</v>
      </c>
      <c r="G5" s="39">
        <f>IFERROR((Tabela46[[#This Row],[Tméd (s)]]/Tabela46[[#This Row],[Tméd ajustado (s)]]-1)*-1,"")</f>
        <v>2.9126213592232997E-2</v>
      </c>
    </row>
    <row r="6" spans="1:7" x14ac:dyDescent="0.25">
      <c r="A6" s="35"/>
      <c r="B6" s="29"/>
      <c r="C6" s="34" t="str">
        <f>IF(Tabela46[[#This Row],[Nome da operação]]&lt;&gt;"",COUNTIF(Tabela1[ID],Tabela46[[#This Row],[Operador]]),"")</f>
        <v/>
      </c>
      <c r="D6" s="31"/>
      <c r="E6" s="31"/>
      <c r="F6" s="31"/>
      <c r="G6" s="39" t="str">
        <f>IFERROR((Tabela46[[#This Row],[Tméd (s)]]/Tabela46[[#This Row],[Tméd ajustado (s)]]-1)*-1,"")</f>
        <v/>
      </c>
    </row>
    <row r="7" spans="1:7" x14ac:dyDescent="0.25">
      <c r="A7" s="35"/>
      <c r="B7" s="29"/>
      <c r="C7" s="34"/>
      <c r="D7" s="31"/>
      <c r="E7" s="31"/>
      <c r="F7" s="31"/>
      <c r="G7" s="39"/>
    </row>
    <row r="8" spans="1:7" x14ac:dyDescent="0.25">
      <c r="A8" s="35"/>
      <c r="B8" s="29"/>
      <c r="C8" s="34"/>
      <c r="D8" s="31"/>
      <c r="E8" s="31"/>
      <c r="F8" s="31"/>
      <c r="G8" s="39"/>
    </row>
    <row r="9" spans="1:7" x14ac:dyDescent="0.25">
      <c r="A9" s="35"/>
      <c r="B9" s="29"/>
      <c r="C9" s="34"/>
      <c r="D9" s="31"/>
      <c r="E9" s="31"/>
      <c r="F9" s="31"/>
      <c r="G9" s="39"/>
    </row>
    <row r="10" spans="1:7" x14ac:dyDescent="0.25">
      <c r="A10" s="28"/>
      <c r="B10" s="29"/>
      <c r="C10" s="34" t="str">
        <f>IF(Tabela46[[#This Row],[Nome da operação]]&lt;&gt;"",COUNTIF(Tabela1[ID],Tabela46[[#This Row],[Operador]]),"")</f>
        <v/>
      </c>
      <c r="D10" s="31"/>
      <c r="E10" s="36"/>
      <c r="F10" s="30"/>
      <c r="G10" s="39" t="str">
        <f>IFERROR((Tabela46[[#This Row],[Tméd (s)]]/Tabela46[[#This Row],[Tméd ajustado (s)]]-1)*-1,"")</f>
        <v/>
      </c>
    </row>
    <row r="11" spans="1:7" x14ac:dyDescent="0.25">
      <c r="A11" s="28"/>
      <c r="B11" s="29"/>
      <c r="C11" s="34" t="str">
        <f>IF(Tabela46[[#This Row],[Nome da operação]]&lt;&gt;"",COUNTIF(Tabela1[ID],Tabela46[[#This Row],[Operador]]),"")</f>
        <v/>
      </c>
      <c r="D11" s="31"/>
      <c r="E11" s="36"/>
      <c r="F11" s="30"/>
      <c r="G11" s="39" t="str">
        <f>IFERROR((Tabela46[[#This Row],[Tméd (s)]]/Tabela46[[#This Row],[Tméd ajustado (s)]]-1)*-1,"")</f>
        <v/>
      </c>
    </row>
    <row r="12" spans="1:7" x14ac:dyDescent="0.25">
      <c r="A12" s="28"/>
      <c r="B12" s="29"/>
      <c r="C12" s="34" t="str">
        <f>IF(Tabela46[[#This Row],[Nome da operação]]&lt;&gt;"",COUNTIF(Tabela1[ID],Tabela46[[#This Row],[Operador]]),"")</f>
        <v/>
      </c>
      <c r="D12" s="31"/>
      <c r="E12" s="36"/>
      <c r="F12" s="30"/>
      <c r="G12" s="39" t="str">
        <f>IFERROR((Tabela46[[#This Row],[Tméd (s)]]/Tabela46[[#This Row],[Tméd ajustado (s)]]-1)*-1,"")</f>
        <v/>
      </c>
    </row>
    <row r="13" spans="1:7" x14ac:dyDescent="0.25">
      <c r="A13" s="28"/>
      <c r="B13" s="29"/>
      <c r="C13" s="34" t="str">
        <f>IF(Tabela46[[#This Row],[Nome da operação]]&lt;&gt;"",COUNTIF(Tabela1[ID],Tabela46[[#This Row],[Operador]]),"")</f>
        <v/>
      </c>
      <c r="D13" s="31"/>
      <c r="E13" s="36"/>
      <c r="F13" s="30"/>
      <c r="G13" s="39" t="str">
        <f>IFERROR((Tabela46[[#This Row],[Tméd (s)]]/Tabela46[[#This Row],[Tméd ajustado (s)]]-1)*-1,"")</f>
        <v/>
      </c>
    </row>
    <row r="14" spans="1:7" x14ac:dyDescent="0.25">
      <c r="A14" s="28"/>
      <c r="B14" s="29"/>
      <c r="C14" s="34" t="str">
        <f>IF(Tabela46[[#This Row],[Nome da operação]]&lt;&gt;"",COUNTIF(Tabela1[ID],Tabela46[[#This Row],[Operador]]),"")</f>
        <v/>
      </c>
      <c r="D14" s="31"/>
      <c r="E14" s="36"/>
      <c r="F14" s="30"/>
      <c r="G14" s="39" t="str">
        <f>IFERROR((Tabela46[[#This Row],[Tméd (s)]]/Tabela46[[#This Row],[Tméd ajustado (s)]]-1)*-1,"")</f>
        <v/>
      </c>
    </row>
    <row r="15" spans="1:7" x14ac:dyDescent="0.25">
      <c r="A15" s="28"/>
      <c r="B15" s="29"/>
      <c r="C15" s="34" t="str">
        <f>IF(Tabela46[[#This Row],[Nome da operação]]&lt;&gt;"",COUNTIF(Tabela1[ID],Tabela46[[#This Row],[Operador]]),"")</f>
        <v/>
      </c>
      <c r="D15" s="31"/>
      <c r="E15" s="36"/>
      <c r="F15" s="30"/>
      <c r="G15" s="39" t="str">
        <f>IFERROR((Tabela46[[#This Row],[Tméd (s)]]/Tabela46[[#This Row],[Tméd ajustado (s)]]-1)*-1,"")</f>
        <v/>
      </c>
    </row>
    <row r="16" spans="1:7" x14ac:dyDescent="0.25">
      <c r="A16" s="28"/>
      <c r="B16" s="29"/>
      <c r="C16" s="34" t="str">
        <f>IF(Tabela46[[#This Row],[Nome da operação]]&lt;&gt;"",COUNTIF(Tabela1[ID],Tabela46[[#This Row],[Operador]]),"")</f>
        <v/>
      </c>
      <c r="D16" s="31"/>
      <c r="E16" s="36"/>
      <c r="F16" s="30"/>
      <c r="G16" s="39" t="str">
        <f>IFERROR((Tabela46[[#This Row],[Tméd (s)]]/Tabela46[[#This Row],[Tméd ajustado (s)]]-1)*-1,"")</f>
        <v/>
      </c>
    </row>
    <row r="17" spans="1:7" x14ac:dyDescent="0.25">
      <c r="A17" s="28"/>
      <c r="B17" s="29"/>
      <c r="C17" s="34" t="str">
        <f>IF(Tabela46[[#This Row],[Nome da operação]]&lt;&gt;"",COUNTIF(Tabela1[ID],Tabela46[[#This Row],[Operador]]),"")</f>
        <v/>
      </c>
      <c r="D17" s="31"/>
      <c r="E17" s="36"/>
      <c r="F17" s="30"/>
      <c r="G17" s="39" t="str">
        <f>IFERROR((Tabela46[[#This Row],[Tméd (s)]]/Tabela46[[#This Row],[Tméd ajustado (s)]]-1)*-1,"")</f>
        <v/>
      </c>
    </row>
    <row r="18" spans="1:7" x14ac:dyDescent="0.25">
      <c r="A18" s="28"/>
      <c r="B18" s="29"/>
      <c r="C18" s="34" t="str">
        <f>IF(Tabela46[[#This Row],[Nome da operação]]&lt;&gt;"",COUNTIF(Tabela1[ID],Tabela46[[#This Row],[Operador]]),"")</f>
        <v/>
      </c>
      <c r="D18" s="31"/>
      <c r="E18" s="36"/>
      <c r="F18" s="30"/>
      <c r="G18" s="39" t="str">
        <f>IFERROR((Tabela46[[#This Row],[Tméd (s)]]/Tabela46[[#This Row],[Tméd ajustado (s)]]-1)*-1,"")</f>
        <v/>
      </c>
    </row>
    <row r="19" spans="1:7" x14ac:dyDescent="0.25">
      <c r="A19" s="28"/>
      <c r="B19" s="29"/>
      <c r="C19" s="34" t="str">
        <f>IF(Tabela46[[#This Row],[Nome da operação]]&lt;&gt;"",COUNTIF(Tabela1[ID],Tabela46[[#This Row],[Operador]]),"")</f>
        <v/>
      </c>
      <c r="D19" s="31"/>
      <c r="E19" s="36"/>
      <c r="F19" s="30"/>
      <c r="G19" s="39" t="str">
        <f>IFERROR((Tabela46[[#This Row],[Tméd (s)]]/Tabela46[[#This Row],[Tméd ajustado (s)]]-1)*-1,"")</f>
        <v/>
      </c>
    </row>
    <row r="20" spans="1:7" x14ac:dyDescent="0.25">
      <c r="A20" s="28"/>
      <c r="B20" s="29"/>
      <c r="C20" s="34" t="str">
        <f>IF(Tabela46[[#This Row],[Nome da operação]]&lt;&gt;"",COUNTIF(Tabela1[ID],Tabela46[[#This Row],[Operador]]),"")</f>
        <v/>
      </c>
      <c r="D20" s="31" t="str">
        <f>IF(Tabela46[[#This Row],[Nome da operação]]&lt;&gt;"",SUMIF(Tabela1[Nome da operação], A20, Tabela1[Tméd ajustado (s)]),"")</f>
        <v/>
      </c>
      <c r="E20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20" s="30" t="str">
        <f>IF(Tabela46[[#This Row],[Nome da operação]]&lt;&gt;"",Tabela46[[#This Row],[Tméd (s)]]+Tabela46[[#This Row],[Coef. Fadiga (s)]],"")</f>
        <v/>
      </c>
      <c r="G20" s="39" t="str">
        <f>IFERROR((Tabela46[[#This Row],[Tméd (s)]]/Tabela46[[#This Row],[Tméd ajustado (s)]]-1)*-1,"")</f>
        <v/>
      </c>
    </row>
    <row r="21" spans="1:7" x14ac:dyDescent="0.25">
      <c r="A21" s="28"/>
      <c r="B21" s="29"/>
      <c r="C21" s="34" t="str">
        <f>IF(Tabela46[[#This Row],[Nome da operação]]&lt;&gt;"",COUNTIF(Tabela1[ID],Tabela46[[#This Row],[Operador]]),"")</f>
        <v/>
      </c>
      <c r="D21" s="31" t="str">
        <f>IF(Tabela46[[#This Row],[Nome da operação]]&lt;&gt;"",SUMIF(Tabela1[Nome da operação], A21, Tabela1[Tméd ajustado (s)]),"")</f>
        <v/>
      </c>
      <c r="E21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21" s="30" t="str">
        <f>IF(Tabela46[[#This Row],[Nome da operação]]&lt;&gt;"",Tabela46[[#This Row],[Tméd (s)]]+Tabela46[[#This Row],[Coef. Fadiga (s)]],"")</f>
        <v/>
      </c>
      <c r="G21" s="39" t="str">
        <f>IFERROR((Tabela46[[#This Row],[Tméd (s)]]/Tabela46[[#This Row],[Tméd ajustado (s)]]-1)*-1,"")</f>
        <v/>
      </c>
    </row>
    <row r="22" spans="1:7" x14ac:dyDescent="0.25">
      <c r="A22" s="28"/>
      <c r="B22" s="29"/>
      <c r="C22" s="34" t="str">
        <f>IF(Tabela46[[#This Row],[Nome da operação]]&lt;&gt;"",COUNTIF(Tabela1[ID],Tabela46[[#This Row],[Operador]]),"")</f>
        <v/>
      </c>
      <c r="D22" s="31" t="str">
        <f>IF(Tabela46[[#This Row],[Nome da operação]]&lt;&gt;"",SUMIF(Tabela1[Nome da operação], A22, Tabela1[Tméd ajustado (s)]),"")</f>
        <v/>
      </c>
      <c r="E22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22" s="30" t="str">
        <f>IF(Tabela46[[#This Row],[Nome da operação]]&lt;&gt;"",Tabela46[[#This Row],[Tméd (s)]]+Tabela46[[#This Row],[Coef. Fadiga (s)]],"")</f>
        <v/>
      </c>
      <c r="G22" s="39" t="str">
        <f>IFERROR((Tabela46[[#This Row],[Tméd (s)]]/Tabela46[[#This Row],[Tméd ajustado (s)]]-1)*-1,"")</f>
        <v/>
      </c>
    </row>
    <row r="23" spans="1:7" x14ac:dyDescent="0.25">
      <c r="A23" s="28"/>
      <c r="B23" s="29"/>
      <c r="C23" s="34" t="str">
        <f>IF(Tabela46[[#This Row],[Nome da operação]]&lt;&gt;"",COUNTIF(Tabela1[ID],Tabela46[[#This Row],[Operador]]),"")</f>
        <v/>
      </c>
      <c r="D23" s="31" t="str">
        <f>IF(Tabela46[[#This Row],[Nome da operação]]&lt;&gt;"",SUMIF(Tabela1[Nome da operação], A23, Tabela1[Tméd ajustado (s)]),"")</f>
        <v/>
      </c>
      <c r="E23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23" s="30" t="str">
        <f>IF(Tabela46[[#This Row],[Nome da operação]]&lt;&gt;"",Tabela46[[#This Row],[Tméd (s)]]+Tabela46[[#This Row],[Coef. Fadiga (s)]],"")</f>
        <v/>
      </c>
      <c r="G23" s="39" t="str">
        <f>IFERROR((Tabela46[[#This Row],[Tméd (s)]]/Tabela46[[#This Row],[Tméd ajustado (s)]]-1)*-1,"")</f>
        <v/>
      </c>
    </row>
    <row r="24" spans="1:7" x14ac:dyDescent="0.25">
      <c r="A24" s="28"/>
      <c r="B24" s="29"/>
      <c r="C24" s="34" t="str">
        <f>IF(Tabela46[[#This Row],[Nome da operação]]&lt;&gt;"",COUNTIF(Tabela1[ID],Tabela46[[#This Row],[Operador]]),"")</f>
        <v/>
      </c>
      <c r="D24" s="31" t="str">
        <f>IF(Tabela46[[#This Row],[Nome da operação]]&lt;&gt;"",SUMIF(Tabela1[Nome da operação], A24, Tabela1[Tméd ajustado (s)]),"")</f>
        <v/>
      </c>
      <c r="E24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24" s="30" t="str">
        <f>IF(Tabela46[[#This Row],[Nome da operação]]&lt;&gt;"",Tabela46[[#This Row],[Tméd (s)]]+Tabela46[[#This Row],[Coef. Fadiga (s)]],"")</f>
        <v/>
      </c>
      <c r="G24" s="39" t="str">
        <f>IFERROR((Tabela46[[#This Row],[Tméd (s)]]/Tabela46[[#This Row],[Tméd ajustado (s)]]-1)*-1,"")</f>
        <v/>
      </c>
    </row>
    <row r="25" spans="1:7" x14ac:dyDescent="0.25">
      <c r="A25" s="28"/>
      <c r="B25" s="29"/>
      <c r="C25" s="34" t="str">
        <f>IF(Tabela46[[#This Row],[Nome da operação]]&lt;&gt;"",COUNTIF(Tabela1[ID],Tabela46[[#This Row],[Operador]]),"")</f>
        <v/>
      </c>
      <c r="D25" s="31" t="str">
        <f>IF(Tabela46[[#This Row],[Nome da operação]]&lt;&gt;"",SUMIF(Tabela1[Nome da operação], A25, Tabela1[Tméd ajustado (s)]),"")</f>
        <v/>
      </c>
      <c r="E25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25" s="30" t="str">
        <f>IF(Tabela46[[#This Row],[Nome da operação]]&lt;&gt;"",Tabela46[[#This Row],[Tméd (s)]]+Tabela46[[#This Row],[Coef. Fadiga (s)]],"")</f>
        <v/>
      </c>
      <c r="G25" s="39" t="str">
        <f>IFERROR((Tabela46[[#This Row],[Tméd (s)]]/Tabela46[[#This Row],[Tméd ajustado (s)]]-1)*-1,"")</f>
        <v/>
      </c>
    </row>
    <row r="26" spans="1:7" x14ac:dyDescent="0.25">
      <c r="A26" s="28"/>
      <c r="B26" s="29"/>
      <c r="C26" s="34" t="str">
        <f>IF(Tabela46[[#This Row],[Nome da operação]]&lt;&gt;"",COUNTIF(Tabela1[ID],Tabela46[[#This Row],[Operador]]),"")</f>
        <v/>
      </c>
      <c r="D26" s="31" t="str">
        <f>IF(Tabela46[[#This Row],[Nome da operação]]&lt;&gt;"",SUMIF(Tabela1[Nome da operação], A26, Tabela1[Tméd ajustado (s)]),"")</f>
        <v/>
      </c>
      <c r="E26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26" s="30" t="str">
        <f>IF(Tabela46[[#This Row],[Nome da operação]]&lt;&gt;"",Tabela46[[#This Row],[Tméd (s)]]+Tabela46[[#This Row],[Coef. Fadiga (s)]],"")</f>
        <v/>
      </c>
      <c r="G26" s="39" t="str">
        <f>IFERROR((Tabela46[[#This Row],[Tméd (s)]]/Tabela46[[#This Row],[Tméd ajustado (s)]]-1)*-1,"")</f>
        <v/>
      </c>
    </row>
    <row r="27" spans="1:7" x14ac:dyDescent="0.25">
      <c r="A27" s="28"/>
      <c r="B27" s="29"/>
      <c r="C27" s="34" t="str">
        <f>IF(Tabela46[[#This Row],[Nome da operação]]&lt;&gt;"",COUNTIF(Tabela1[ID],Tabela46[[#This Row],[Operador]]),"")</f>
        <v/>
      </c>
      <c r="D27" s="31" t="str">
        <f>IF(Tabela46[[#This Row],[Nome da operação]]&lt;&gt;"",SUMIF(Tabela1[Nome da operação], A27, Tabela1[Tméd ajustado (s)]),"")</f>
        <v/>
      </c>
      <c r="E27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27" s="30" t="str">
        <f>IF(Tabela46[[#This Row],[Nome da operação]]&lt;&gt;"",Tabela46[[#This Row],[Tméd (s)]]+Tabela46[[#This Row],[Coef. Fadiga (s)]],"")</f>
        <v/>
      </c>
      <c r="G27" s="39" t="str">
        <f>IFERROR((Tabela46[[#This Row],[Tméd (s)]]/Tabela46[[#This Row],[Tméd ajustado (s)]]-1)*-1,"")</f>
        <v/>
      </c>
    </row>
    <row r="28" spans="1:7" x14ac:dyDescent="0.25">
      <c r="A28" s="28"/>
      <c r="B28" s="29"/>
      <c r="C28" s="34" t="str">
        <f>IF(Tabela46[[#This Row],[Nome da operação]]&lt;&gt;"",COUNTIF(Tabela1[ID],Tabela46[[#This Row],[Operador]]),"")</f>
        <v/>
      </c>
      <c r="D28" s="31" t="str">
        <f>IF(Tabela46[[#This Row],[Nome da operação]]&lt;&gt;"",SUMIF(Tabela1[Nome da operação], A28, Tabela1[Tméd ajustado (s)]),"")</f>
        <v/>
      </c>
      <c r="E28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28" s="30" t="str">
        <f>IF(Tabela46[[#This Row],[Nome da operação]]&lt;&gt;"",Tabela46[[#This Row],[Tméd (s)]]+Tabela46[[#This Row],[Coef. Fadiga (s)]],"")</f>
        <v/>
      </c>
      <c r="G28" s="39" t="str">
        <f>IFERROR((Tabela46[[#This Row],[Tméd (s)]]/Tabela46[[#This Row],[Tméd ajustado (s)]]-1)*-1,"")</f>
        <v/>
      </c>
    </row>
    <row r="29" spans="1:7" x14ac:dyDescent="0.25">
      <c r="A29" s="28"/>
      <c r="B29" s="29"/>
      <c r="C29" s="34" t="str">
        <f>IF(Tabela46[[#This Row],[Nome da operação]]&lt;&gt;"",COUNTIF(Tabela1[ID],Tabela46[[#This Row],[Operador]]),"")</f>
        <v/>
      </c>
      <c r="D29" s="31" t="str">
        <f>IF(Tabela46[[#This Row],[Nome da operação]]&lt;&gt;"",SUMIF(Tabela1[Nome da operação], A29, Tabela1[Tméd ajustado (s)]),"")</f>
        <v/>
      </c>
      <c r="E29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29" s="30" t="str">
        <f>IF(Tabela46[[#This Row],[Nome da operação]]&lt;&gt;"",Tabela46[[#This Row],[Tméd (s)]]+Tabela46[[#This Row],[Coef. Fadiga (s)]],"")</f>
        <v/>
      </c>
      <c r="G29" s="39" t="str">
        <f>IFERROR((Tabela46[[#This Row],[Tméd (s)]]/Tabela46[[#This Row],[Tméd ajustado (s)]]-1)*-1,"")</f>
        <v/>
      </c>
    </row>
    <row r="30" spans="1:7" x14ac:dyDescent="0.25">
      <c r="A30" s="28"/>
      <c r="B30" s="29"/>
      <c r="C30" s="34" t="str">
        <f>IF(Tabela46[[#This Row],[Nome da operação]]&lt;&gt;"",COUNTIF(Tabela1[ID],Tabela46[[#This Row],[Operador]]),"")</f>
        <v/>
      </c>
      <c r="D30" s="31" t="str">
        <f>IF(Tabela46[[#This Row],[Nome da operação]]&lt;&gt;"",SUMIF(Tabela1[Nome da operação], A30, Tabela1[Tméd ajustado (s)]),"")</f>
        <v/>
      </c>
      <c r="E30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30" s="30" t="str">
        <f>IF(Tabela46[[#This Row],[Nome da operação]]&lt;&gt;"",Tabela46[[#This Row],[Tméd (s)]]+Tabela46[[#This Row],[Coef. Fadiga (s)]],"")</f>
        <v/>
      </c>
      <c r="G30" s="39" t="str">
        <f>IFERROR((Tabela46[[#This Row],[Tméd (s)]]/Tabela46[[#This Row],[Tméd ajustado (s)]]-1)*-1,"")</f>
        <v/>
      </c>
    </row>
    <row r="31" spans="1:7" x14ac:dyDescent="0.25">
      <c r="A31" s="28"/>
      <c r="B31" s="29"/>
      <c r="C31" s="34" t="str">
        <f>IF(Tabela46[[#This Row],[Nome da operação]]&lt;&gt;"",COUNTIF(Tabela1[ID],Tabela46[[#This Row],[Operador]]),"")</f>
        <v/>
      </c>
      <c r="D31" s="31" t="str">
        <f>IF(Tabela46[[#This Row],[Nome da operação]]&lt;&gt;"",SUMIF(Tabela1[Nome da operação], A31, Tabela1[Tméd ajustado (s)]),"")</f>
        <v/>
      </c>
      <c r="E31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31" s="30" t="str">
        <f>IF(Tabela46[[#This Row],[Nome da operação]]&lt;&gt;"",Tabela46[[#This Row],[Tméd (s)]]+Tabela46[[#This Row],[Coef. Fadiga (s)]],"")</f>
        <v/>
      </c>
      <c r="G31" s="39" t="str">
        <f>IFERROR((Tabela46[[#This Row],[Tméd (s)]]/Tabela46[[#This Row],[Tméd ajustado (s)]]-1)*-1,"")</f>
        <v/>
      </c>
    </row>
    <row r="32" spans="1:7" x14ac:dyDescent="0.25">
      <c r="A32" s="28"/>
      <c r="B32" s="29"/>
      <c r="C32" s="34" t="str">
        <f>IF(Tabela46[[#This Row],[Nome da operação]]&lt;&gt;"",COUNTIF(Tabela1[ID],Tabela46[[#This Row],[Operador]]),"")</f>
        <v/>
      </c>
      <c r="D32" s="31" t="str">
        <f>IF(Tabela46[[#This Row],[Nome da operação]]&lt;&gt;"",SUMIF(Tabela1[Nome da operação], A32, Tabela1[Tméd ajustado (s)]),"")</f>
        <v/>
      </c>
      <c r="E32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32" s="30" t="str">
        <f>IF(Tabela46[[#This Row],[Nome da operação]]&lt;&gt;"",Tabela46[[#This Row],[Tméd (s)]]+Tabela46[[#This Row],[Coef. Fadiga (s)]],"")</f>
        <v/>
      </c>
      <c r="G32" s="39" t="str">
        <f>IFERROR((Tabela46[[#This Row],[Tméd (s)]]/Tabela46[[#This Row],[Tméd ajustado (s)]]-1)*-1,"")</f>
        <v/>
      </c>
    </row>
    <row r="33" spans="1:7" x14ac:dyDescent="0.25">
      <c r="A33" s="28"/>
      <c r="B33" s="29"/>
      <c r="C33" s="34" t="str">
        <f>IF(Tabela46[[#This Row],[Nome da operação]]&lt;&gt;"",COUNTIF(Tabela1[ID],Tabela46[[#This Row],[Operador]]),"")</f>
        <v/>
      </c>
      <c r="D33" s="31" t="str">
        <f>IF(Tabela46[[#This Row],[Nome da operação]]&lt;&gt;"",SUMIF(Tabela1[Nome da operação], A33, Tabela1[Tméd ajustado (s)]),"")</f>
        <v/>
      </c>
      <c r="E33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33" s="30" t="str">
        <f>IF(Tabela46[[#This Row],[Nome da operação]]&lt;&gt;"",Tabela46[[#This Row],[Tméd (s)]]+Tabela46[[#This Row],[Coef. Fadiga (s)]],"")</f>
        <v/>
      </c>
      <c r="G33" s="39" t="str">
        <f>IFERROR((Tabela46[[#This Row],[Tméd (s)]]/Tabela46[[#This Row],[Tméd ajustado (s)]]-1)*-1,"")</f>
        <v/>
      </c>
    </row>
    <row r="34" spans="1:7" x14ac:dyDescent="0.25">
      <c r="A34" s="28"/>
      <c r="B34" s="29"/>
      <c r="C34" s="34" t="str">
        <f>IF(Tabela46[[#This Row],[Nome da operação]]&lt;&gt;"",COUNTIF(Tabela1[ID],Tabela46[[#This Row],[Operador]]),"")</f>
        <v/>
      </c>
      <c r="D34" s="31" t="str">
        <f>IF(Tabela46[[#This Row],[Nome da operação]]&lt;&gt;"",SUMIF(Tabela1[Nome da operação], A34, Tabela1[Tméd ajustado (s)]),"")</f>
        <v/>
      </c>
      <c r="E34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34" s="30" t="str">
        <f>IF(Tabela46[[#This Row],[Nome da operação]]&lt;&gt;"",Tabela46[[#This Row],[Tméd (s)]]+Tabela46[[#This Row],[Coef. Fadiga (s)]],"")</f>
        <v/>
      </c>
      <c r="G34" s="39" t="str">
        <f>IFERROR((Tabela46[[#This Row],[Tméd (s)]]/Tabela46[[#This Row],[Tméd ajustado (s)]]-1)*-1,"")</f>
        <v/>
      </c>
    </row>
    <row r="35" spans="1:7" x14ac:dyDescent="0.25">
      <c r="A35" s="28"/>
      <c r="B35" s="29"/>
      <c r="C35" s="34" t="str">
        <f>IF(Tabela46[[#This Row],[Nome da operação]]&lt;&gt;"",COUNTIF(Tabela1[ID],Tabela46[[#This Row],[Operador]]),"")</f>
        <v/>
      </c>
      <c r="D35" s="31" t="str">
        <f>IF(Tabela46[[#This Row],[Nome da operação]]&lt;&gt;"",SUMIF(Tabela1[Nome da operação], A35, Tabela1[Tméd ajustado (s)]),"")</f>
        <v/>
      </c>
      <c r="E35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35" s="30" t="str">
        <f>IF(Tabela46[[#This Row],[Nome da operação]]&lt;&gt;"",Tabela46[[#This Row],[Tméd (s)]]+Tabela46[[#This Row],[Coef. Fadiga (s)]],"")</f>
        <v/>
      </c>
      <c r="G35" s="39" t="str">
        <f>IFERROR((Tabela46[[#This Row],[Tméd (s)]]/Tabela46[[#This Row],[Tméd ajustado (s)]]-1)*-1,"")</f>
        <v/>
      </c>
    </row>
    <row r="36" spans="1:7" x14ac:dyDescent="0.25">
      <c r="A36" s="28"/>
      <c r="B36" s="29"/>
      <c r="C36" s="34" t="str">
        <f>IF(Tabela46[[#This Row],[Nome da operação]]&lt;&gt;"",COUNTIF(Tabela1[ID],Tabela46[[#This Row],[Operador]]),"")</f>
        <v/>
      </c>
      <c r="D36" s="31" t="str">
        <f>IF(Tabela46[[#This Row],[Nome da operação]]&lt;&gt;"",SUMIF(Tabela1[Nome da operação], A36, Tabela1[Tméd ajustado (s)]),"")</f>
        <v/>
      </c>
      <c r="E36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36" s="30" t="str">
        <f>IF(Tabela46[[#This Row],[Nome da operação]]&lt;&gt;"",Tabela46[[#This Row],[Tméd (s)]]+Tabela46[[#This Row],[Coef. Fadiga (s)]],"")</f>
        <v/>
      </c>
      <c r="G36" s="39" t="str">
        <f>IFERROR((Tabela46[[#This Row],[Tméd (s)]]/Tabela46[[#This Row],[Tméd ajustado (s)]]-1)*-1,"")</f>
        <v/>
      </c>
    </row>
    <row r="37" spans="1:7" x14ac:dyDescent="0.25">
      <c r="A37" s="28"/>
      <c r="B37" s="29"/>
      <c r="C37" s="34" t="str">
        <f>IF(Tabela46[[#This Row],[Nome da operação]]&lt;&gt;"",COUNTIF(Tabela1[ID],Tabela46[[#This Row],[Operador]]),"")</f>
        <v/>
      </c>
      <c r="D37" s="31" t="str">
        <f>IF(Tabela46[[#This Row],[Nome da operação]]&lt;&gt;"",SUMIF(Tabela1[Nome da operação], A37, Tabela1[Tméd ajustado (s)]),"")</f>
        <v/>
      </c>
      <c r="E37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37" s="30" t="str">
        <f>IF(Tabela46[[#This Row],[Nome da operação]]&lt;&gt;"",Tabela46[[#This Row],[Tméd (s)]]+Tabela46[[#This Row],[Coef. Fadiga (s)]],"")</f>
        <v/>
      </c>
      <c r="G37" s="39" t="str">
        <f>IFERROR((Tabela46[[#This Row],[Tméd (s)]]/Tabela46[[#This Row],[Tméd ajustado (s)]]-1)*-1,"")</f>
        <v/>
      </c>
    </row>
    <row r="38" spans="1:7" x14ac:dyDescent="0.25">
      <c r="A38" s="28"/>
      <c r="B38" s="29"/>
      <c r="C38" s="34" t="str">
        <f>IF(Tabela46[[#This Row],[Nome da operação]]&lt;&gt;"",COUNTIF(Tabela1[ID],Tabela46[[#This Row],[Operador]]),"")</f>
        <v/>
      </c>
      <c r="D38" s="31" t="str">
        <f>IF(Tabela46[[#This Row],[Nome da operação]]&lt;&gt;"",SUMIF(Tabela1[Nome da operação], A38, Tabela1[Tméd ajustado (s)]),"")</f>
        <v/>
      </c>
      <c r="E38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38" s="30" t="str">
        <f>IF(Tabela46[[#This Row],[Nome da operação]]&lt;&gt;"",Tabela46[[#This Row],[Tméd (s)]]+Tabela46[[#This Row],[Coef. Fadiga (s)]],"")</f>
        <v/>
      </c>
      <c r="G38" s="39" t="str">
        <f>IFERROR((Tabela46[[#This Row],[Tméd (s)]]/Tabela46[[#This Row],[Tméd ajustado (s)]]-1)*-1,"")</f>
        <v/>
      </c>
    </row>
    <row r="39" spans="1:7" x14ac:dyDescent="0.25">
      <c r="A39" s="28"/>
      <c r="B39" s="29"/>
      <c r="C39" s="34" t="str">
        <f>IF(Tabela46[[#This Row],[Nome da operação]]&lt;&gt;"",COUNTIF(Tabela1[ID],Tabela46[[#This Row],[Operador]]),"")</f>
        <v/>
      </c>
      <c r="D39" s="31" t="str">
        <f>IF(Tabela46[[#This Row],[Nome da operação]]&lt;&gt;"",SUMIF(Tabela1[Nome da operação], A39, Tabela1[Tméd ajustado (s)]),"")</f>
        <v/>
      </c>
      <c r="E39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39" s="30" t="str">
        <f>IF(Tabela46[[#This Row],[Nome da operação]]&lt;&gt;"",Tabela46[[#This Row],[Tméd (s)]]+Tabela46[[#This Row],[Coef. Fadiga (s)]],"")</f>
        <v/>
      </c>
      <c r="G39" s="39" t="str">
        <f>IFERROR((Tabela46[[#This Row],[Tméd (s)]]/Tabela46[[#This Row],[Tméd ajustado (s)]]-1)*-1,"")</f>
        <v/>
      </c>
    </row>
    <row r="40" spans="1:7" x14ac:dyDescent="0.25">
      <c r="A40" s="28"/>
      <c r="B40" s="29"/>
      <c r="C40" s="34" t="str">
        <f>IF(Tabela46[[#This Row],[Nome da operação]]&lt;&gt;"",COUNTIF(Tabela1[ID],Tabela46[[#This Row],[Operador]]),"")</f>
        <v/>
      </c>
      <c r="D40" s="31" t="str">
        <f>IF(Tabela46[[#This Row],[Nome da operação]]&lt;&gt;"",SUMIF(Tabela1[Nome da operação], A40, Tabela1[Tméd ajustado (s)]),"")</f>
        <v/>
      </c>
      <c r="E40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40" s="30" t="str">
        <f>IF(Tabela46[[#This Row],[Nome da operação]]&lt;&gt;"",Tabela46[[#This Row],[Tméd (s)]]+Tabela46[[#This Row],[Coef. Fadiga (s)]],"")</f>
        <v/>
      </c>
      <c r="G40" s="39" t="str">
        <f>IFERROR((Tabela46[[#This Row],[Tméd (s)]]/Tabela46[[#This Row],[Tméd ajustado (s)]]-1)*-1,"")</f>
        <v/>
      </c>
    </row>
    <row r="41" spans="1:7" x14ac:dyDescent="0.25">
      <c r="A41" s="28"/>
      <c r="B41" s="29"/>
      <c r="C41" s="34" t="str">
        <f>IF(Tabela46[[#This Row],[Nome da operação]]&lt;&gt;"",COUNTIF(Tabela1[ID],Tabela46[[#This Row],[Operador]]),"")</f>
        <v/>
      </c>
      <c r="D41" s="31" t="str">
        <f>IF(Tabela46[[#This Row],[Nome da operação]]&lt;&gt;"",SUMIF(Tabela1[Nome da operação], A41, Tabela1[Tméd ajustado (s)]),"")</f>
        <v/>
      </c>
      <c r="E41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41" s="30" t="str">
        <f>IF(Tabela46[[#This Row],[Nome da operação]]&lt;&gt;"",Tabela46[[#This Row],[Tméd (s)]]+Tabela46[[#This Row],[Coef. Fadiga (s)]],"")</f>
        <v/>
      </c>
      <c r="G41" s="39" t="str">
        <f>IFERROR((Tabela46[[#This Row],[Tméd (s)]]/Tabela46[[#This Row],[Tméd ajustado (s)]]-1)*-1,"")</f>
        <v/>
      </c>
    </row>
    <row r="42" spans="1:7" x14ac:dyDescent="0.25">
      <c r="A42" s="28"/>
      <c r="B42" s="29"/>
      <c r="C42" s="34" t="str">
        <f>IF(Tabela46[[#This Row],[Nome da operação]]&lt;&gt;"",COUNTIF(Tabela1[ID],Tabela46[[#This Row],[Operador]]),"")</f>
        <v/>
      </c>
      <c r="D42" s="31" t="str">
        <f>IF(Tabela46[[#This Row],[Nome da operação]]&lt;&gt;"",SUMIF(Tabela1[Nome da operação], A42, Tabela1[Tméd ajustado (s)]),"")</f>
        <v/>
      </c>
      <c r="E42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42" s="30" t="str">
        <f>IF(Tabela46[[#This Row],[Nome da operação]]&lt;&gt;"",Tabela46[[#This Row],[Tméd (s)]]+Tabela46[[#This Row],[Coef. Fadiga (s)]],"")</f>
        <v/>
      </c>
      <c r="G42" s="39" t="str">
        <f>IFERROR((Tabela46[[#This Row],[Tméd (s)]]/Tabela46[[#This Row],[Tméd ajustado (s)]]-1)*-1,"")</f>
        <v/>
      </c>
    </row>
    <row r="43" spans="1:7" x14ac:dyDescent="0.25">
      <c r="A43" s="28"/>
      <c r="B43" s="29"/>
      <c r="C43" s="34" t="str">
        <f>IF(Tabela46[[#This Row],[Nome da operação]]&lt;&gt;"",COUNTIF(Tabela1[ID],Tabela46[[#This Row],[Operador]]),"")</f>
        <v/>
      </c>
      <c r="D43" s="31" t="str">
        <f>IF(Tabela46[[#This Row],[Nome da operação]]&lt;&gt;"",SUMIF(Tabela1[Nome da operação], A43, Tabela1[Tméd ajustado (s)]),"")</f>
        <v/>
      </c>
      <c r="E43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43" s="30" t="str">
        <f>IF(Tabela46[[#This Row],[Nome da operação]]&lt;&gt;"",Tabela46[[#This Row],[Tméd (s)]]+Tabela46[[#This Row],[Coef. Fadiga (s)]],"")</f>
        <v/>
      </c>
      <c r="G43" s="39" t="str">
        <f>IFERROR((Tabela46[[#This Row],[Tméd (s)]]/Tabela46[[#This Row],[Tméd ajustado (s)]]-1)*-1,"")</f>
        <v/>
      </c>
    </row>
    <row r="44" spans="1:7" x14ac:dyDescent="0.25">
      <c r="A44" s="28"/>
      <c r="B44" s="29"/>
      <c r="C44" s="34" t="str">
        <f>IF(Tabela46[[#This Row],[Nome da operação]]&lt;&gt;"",COUNTIF(Tabela1[ID],Tabela46[[#This Row],[Operador]]),"")</f>
        <v/>
      </c>
      <c r="D44" s="31" t="str">
        <f>IF(Tabela46[[#This Row],[Nome da operação]]&lt;&gt;"",SUMIF(Tabela1[Nome da operação], A44, Tabela1[Tméd ajustado (s)]),"")</f>
        <v/>
      </c>
      <c r="E44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44" s="30" t="str">
        <f>IF(Tabela46[[#This Row],[Nome da operação]]&lt;&gt;"",Tabela46[[#This Row],[Tméd (s)]]+Tabela46[[#This Row],[Coef. Fadiga (s)]],"")</f>
        <v/>
      </c>
      <c r="G44" s="39" t="str">
        <f>IFERROR((Tabela46[[#This Row],[Tméd (s)]]/Tabela46[[#This Row],[Tméd ajustado (s)]]-1)*-1,"")</f>
        <v/>
      </c>
    </row>
    <row r="45" spans="1:7" x14ac:dyDescent="0.25">
      <c r="A45" s="28"/>
      <c r="B45" s="29"/>
      <c r="C45" s="34" t="str">
        <f>IF(Tabela46[[#This Row],[Nome da operação]]&lt;&gt;"",COUNTIF(Tabela1[ID],Tabela46[[#This Row],[Operador]]),"")</f>
        <v/>
      </c>
      <c r="D45" s="31" t="str">
        <f>IF(Tabela46[[#This Row],[Nome da operação]]&lt;&gt;"",SUMIF(Tabela1[Nome da operação], A45, Tabela1[Tméd ajustado (s)]),"")</f>
        <v/>
      </c>
      <c r="E45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45" s="30" t="str">
        <f>IF(Tabela46[[#This Row],[Nome da operação]]&lt;&gt;"",Tabela46[[#This Row],[Tméd (s)]]+Tabela46[[#This Row],[Coef. Fadiga (s)]],"")</f>
        <v/>
      </c>
      <c r="G45" s="39" t="str">
        <f>IFERROR((Tabela46[[#This Row],[Tméd (s)]]/Tabela46[[#This Row],[Tméd ajustado (s)]]-1)*-1,"")</f>
        <v/>
      </c>
    </row>
    <row r="46" spans="1:7" x14ac:dyDescent="0.25">
      <c r="A46" s="28"/>
      <c r="B46" s="29"/>
      <c r="C46" s="28" t="str">
        <f>IF(Tabela46[[#This Row],[Nome da operação]]&lt;&gt;"",COUNTIF(Tabela1[ID],Tabela46[[#This Row],[Operador]]),"")</f>
        <v/>
      </c>
      <c r="D46" s="31" t="str">
        <f>IF(Tabela46[[#This Row],[Nome da operação]]&lt;&gt;"",SUMIF(Tabela1[Nome da operação], A46, Tabela1[Tméd ajustado (s)]),"")</f>
        <v/>
      </c>
      <c r="E46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46" s="30" t="str">
        <f>IF(Tabela46[[#This Row],[Nome da operação]]&lt;&gt;"",Tabela46[[#This Row],[Tméd (s)]]+Tabela46[[#This Row],[Coef. Fadiga (s)]],"")</f>
        <v/>
      </c>
      <c r="G46" s="47" t="str">
        <f>IFERROR((Tabela46[[#This Row],[Tméd (s)]]/Tabela46[[#This Row],[Tméd ajustado (s)]]-1)*-1,"")</f>
        <v/>
      </c>
    </row>
    <row r="47" spans="1:7" x14ac:dyDescent="0.25">
      <c r="A47" s="28"/>
      <c r="B47" s="29"/>
      <c r="C47" s="28" t="str">
        <f>IF(Tabela46[[#This Row],[Nome da operação]]&lt;&gt;"",COUNTIF(Tabela1[ID],Tabela46[[#This Row],[Operador]]),"")</f>
        <v/>
      </c>
      <c r="D47" s="31" t="str">
        <f>IF(Tabela46[[#This Row],[Nome da operação]]&lt;&gt;"",SUMIF(Tabela1[Nome da operação], A47, Tabela1[Tméd ajustado (s)]),"")</f>
        <v/>
      </c>
      <c r="E47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47" s="30" t="str">
        <f>IF(Tabela46[[#This Row],[Nome da operação]]&lt;&gt;"",Tabela46[[#This Row],[Tméd (s)]]+Tabela46[[#This Row],[Coef. Fadiga (s)]],"")</f>
        <v/>
      </c>
      <c r="G47" s="47" t="str">
        <f>IFERROR((Tabela46[[#This Row],[Tméd (s)]]/Tabela46[[#This Row],[Tméd ajustado (s)]]-1)*-1,"")</f>
        <v/>
      </c>
    </row>
    <row r="48" spans="1:7" x14ac:dyDescent="0.25">
      <c r="A48" s="28"/>
      <c r="B48" s="29"/>
      <c r="C48" s="28" t="str">
        <f>IF(Tabela46[[#This Row],[Nome da operação]]&lt;&gt;"",COUNTIF(Tabela1[ID],Tabela46[[#This Row],[Operador]]),"")</f>
        <v/>
      </c>
      <c r="D48" s="31" t="str">
        <f>IF(Tabela46[[#This Row],[Nome da operação]]&lt;&gt;"",SUMIF(Tabela1[Nome da operação], A48, Tabela1[Tméd ajustado (s)]),"")</f>
        <v/>
      </c>
      <c r="E48" s="36" t="str">
        <f>IF(Tabela46[[#This Row],[Nome da operação]]&lt;&gt;"",IF(Tabela46[[#This Row],[Movimentações]]&lt;10,Tabela46[[#This Row],[Tméd (s)]]*0.1,IF(Tabela46[[#This Row],[Movimentações]]&gt;10,Tabela46[[#This Row],[Tméd (s)]]*0.35,"ERRO")),"")</f>
        <v/>
      </c>
      <c r="F48" s="30" t="str">
        <f>IF(Tabela46[[#This Row],[Nome da operação]]&lt;&gt;"",Tabela46[[#This Row],[Tméd (s)]]+Tabela46[[#This Row],[Coef. Fadiga (s)]],"")</f>
        <v/>
      </c>
      <c r="G48" s="47" t="str">
        <f>IFERROR((Tabela46[[#This Row],[Tméd (s)]]/Tabela46[[#This Row],[Tméd ajustado (s)]]-1)*-1,"")</f>
        <v/>
      </c>
    </row>
  </sheetData>
  <pageMargins left="0.511811024" right="0.511811024" top="0.78740157499999996" bottom="0.78740157499999996" header="0.31496062000000002" footer="0.31496062000000002"/>
  <ignoredErrors>
    <ignoredError sqref="E4" calculatedColumn="1"/>
  </ignoredErrors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C0489-40A9-4EF6-905B-EB9272E66125}">
  <sheetPr codeName="Planilha5"/>
  <dimension ref="Q3:AC33"/>
  <sheetViews>
    <sheetView topLeftCell="E1" zoomScaleNormal="100" workbookViewId="0">
      <selection activeCell="K42" sqref="K42"/>
    </sheetView>
  </sheetViews>
  <sheetFormatPr defaultRowHeight="15" x14ac:dyDescent="0.25"/>
  <cols>
    <col min="15" max="15" width="38.85546875" bestFit="1" customWidth="1"/>
    <col min="26" max="26" width="40.7109375" bestFit="1" customWidth="1"/>
    <col min="27" max="27" width="11.85546875" bestFit="1" customWidth="1"/>
    <col min="28" max="28" width="11" bestFit="1" customWidth="1"/>
    <col min="29" max="29" width="11.5703125" bestFit="1" customWidth="1"/>
  </cols>
  <sheetData>
    <row r="3" spans="17:28" x14ac:dyDescent="0.25">
      <c r="Z3" t="str">
        <f>GBO!G4 &amp; ": " &amp; TEXT(GBO!H4,0) &amp; " " &amp; GBO!I4</f>
        <v>Capacidade instalada (dia): 659 pç/h</v>
      </c>
    </row>
    <row r="4" spans="17:28" x14ac:dyDescent="0.25">
      <c r="Z4" t="str">
        <f>GBO!G5 &amp; ": " &amp; TEXT(GBO!H5,"#.###") &amp; " " &amp; GBO!I5</f>
        <v>Capacidade instalada (dia): 13.849 pc/dia</v>
      </c>
    </row>
    <row r="6" spans="17:28" x14ac:dyDescent="0.25">
      <c r="Q6" s="22">
        <v>0.85</v>
      </c>
      <c r="Z6" t="str">
        <f>GBO!D4 &amp; ": " &amp; TEXT(GBO!E4,"#,#") &amp; " " &amp; GBO!F4</f>
        <v>Takt Time: 8,2 seg</v>
      </c>
    </row>
    <row r="7" spans="17:28" x14ac:dyDescent="0.25">
      <c r="Q7" s="22">
        <v>0.89</v>
      </c>
      <c r="T7">
        <v>8500</v>
      </c>
      <c r="Z7" t="str">
        <f>GBO!D5 &amp; ": " &amp; TEXT(GBO!E5,"#,#") &amp; " " &amp; GBO!F5</f>
        <v>LeadTime: 24,3 seg</v>
      </c>
    </row>
    <row r="8" spans="17:28" x14ac:dyDescent="0.25">
      <c r="Q8" s="22">
        <v>0.97</v>
      </c>
      <c r="T8">
        <f>3600/6.4</f>
        <v>562.5</v>
      </c>
      <c r="Z8" t="str">
        <f>GBO!D6 &amp; ": " &amp; TEXT(GBO!E6,"#,#") &amp; " " &amp; GBO!F6</f>
        <v xml:space="preserve">N° de postos : 3,8 postos </v>
      </c>
    </row>
    <row r="9" spans="17:28" x14ac:dyDescent="0.25">
      <c r="Q9" s="22">
        <v>1.25</v>
      </c>
      <c r="T9">
        <f>T8*21</f>
        <v>11812.5</v>
      </c>
      <c r="Z9" t="str">
        <f>GBO!D7 &amp; ": " &amp; TEXT(GBO!E7,"#") &amp; " " &amp; GBO!F7</f>
        <v xml:space="preserve">N° real de postos : 4 postos </v>
      </c>
    </row>
    <row r="10" spans="17:28" x14ac:dyDescent="0.25">
      <c r="Q10" s="51">
        <f>AVERAGE(Q6:Q9)</f>
        <v>0.99</v>
      </c>
      <c r="T10" s="22">
        <f>T7/T9</f>
        <v>0.71957671957671954</v>
      </c>
    </row>
    <row r="11" spans="17:28" x14ac:dyDescent="0.25">
      <c r="Z11" t="str">
        <f>GBO!J6 &amp; ": " &amp; TEXT(GBO!K6,"#,#") &amp; " " &amp; GBO!L6</f>
        <v>Gargalo da operação: 6,4 seg</v>
      </c>
    </row>
    <row r="12" spans="17:28" x14ac:dyDescent="0.25">
      <c r="Z12" t="str">
        <f>GBO!D6 &amp; ": " &amp; TEXT(GBO!E6,"#") &amp; " " &amp; GBO!F6</f>
        <v xml:space="preserve">N° de postos : 4 postos </v>
      </c>
    </row>
    <row r="13" spans="17:28" x14ac:dyDescent="0.25">
      <c r="Z13" t="str">
        <f>GBO!D7 &amp; ": " &amp; TEXT(GBO!E7,"#") &amp; " " &amp; GBO!F7</f>
        <v xml:space="preserve">N° real de postos : 4 postos </v>
      </c>
      <c r="AB13">
        <f>24.3/5.6</f>
        <v>4.3392857142857144</v>
      </c>
    </row>
    <row r="14" spans="17:28" x14ac:dyDescent="0.25">
      <c r="Z14" t="str">
        <f>GBO!J8 &amp; ": " &amp; TEXT(GBO!K8,"0%")</f>
        <v>Eficiênca necessária: 78%</v>
      </c>
    </row>
    <row r="16" spans="17:28" x14ac:dyDescent="0.25">
      <c r="Z16" t="s">
        <v>59</v>
      </c>
    </row>
    <row r="17" spans="17:29" x14ac:dyDescent="0.25">
      <c r="Z17" t="s">
        <v>28</v>
      </c>
      <c r="AA17" s="41"/>
      <c r="AB17" s="41"/>
      <c r="AC17" s="41"/>
    </row>
    <row r="18" spans="17:29" x14ac:dyDescent="0.25">
      <c r="Z18" t="s">
        <v>29</v>
      </c>
      <c r="AA18" s="41"/>
      <c r="AB18" s="41"/>
      <c r="AC18" s="41"/>
    </row>
    <row r="19" spans="17:29" x14ac:dyDescent="0.25">
      <c r="Q19">
        <f>3.8+(5.2/2)</f>
        <v>6.4</v>
      </c>
      <c r="Z19" t="s">
        <v>30</v>
      </c>
      <c r="AA19" s="41"/>
      <c r="AB19" s="41"/>
      <c r="AC19" s="41"/>
    </row>
    <row r="20" spans="17:29" x14ac:dyDescent="0.25">
      <c r="Q20">
        <f>3.8/2</f>
        <v>1.9</v>
      </c>
      <c r="Z20" t="s">
        <v>31</v>
      </c>
      <c r="AA20" s="41"/>
      <c r="AB20" s="41"/>
      <c r="AC20" s="41"/>
    </row>
    <row r="21" spans="17:29" x14ac:dyDescent="0.25">
      <c r="Q21">
        <f>5.6+Q20</f>
        <v>7.5</v>
      </c>
      <c r="Z21" t="s">
        <v>32</v>
      </c>
      <c r="AA21" s="41"/>
      <c r="AB21" s="41"/>
      <c r="AC21" s="41"/>
    </row>
    <row r="22" spans="17:29" x14ac:dyDescent="0.25">
      <c r="Z22" t="s">
        <v>33</v>
      </c>
      <c r="AA22" s="41"/>
      <c r="AB22" s="41"/>
      <c r="AC22" s="41"/>
    </row>
    <row r="24" spans="17:29" x14ac:dyDescent="0.25">
      <c r="AA24" s="42"/>
      <c r="AB24" s="42"/>
      <c r="AC24" s="42"/>
    </row>
    <row r="26" spans="17:29" x14ac:dyDescent="0.25">
      <c r="Z26" t="s">
        <v>124</v>
      </c>
      <c r="AA26" s="41"/>
    </row>
    <row r="27" spans="17:29" x14ac:dyDescent="0.25">
      <c r="Z27" t="s">
        <v>126</v>
      </c>
      <c r="AA27" s="41"/>
    </row>
    <row r="28" spans="17:29" x14ac:dyDescent="0.25">
      <c r="U28">
        <f>3600/6.41</f>
        <v>561.62246489859592</v>
      </c>
      <c r="Z28" t="s">
        <v>125</v>
      </c>
      <c r="AA28" s="41"/>
    </row>
    <row r="31" spans="17:29" x14ac:dyDescent="0.25">
      <c r="Q31">
        <v>3.7</v>
      </c>
    </row>
    <row r="32" spans="17:29" x14ac:dyDescent="0.25">
      <c r="Q32">
        <v>4.2</v>
      </c>
    </row>
    <row r="33" spans="17:17" x14ac:dyDescent="0.25">
      <c r="Q33">
        <v>16.3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Crono-análise de atividades</vt:lpstr>
      <vt:lpstr>Análise de fádiga -  Atual</vt:lpstr>
      <vt:lpstr>Painél indicadores</vt:lpstr>
      <vt:lpstr>Atividades</vt:lpstr>
      <vt:lpstr>Atividades YAMAZUMI</vt:lpstr>
      <vt:lpstr>GBO</vt:lpstr>
      <vt:lpstr>Análise de fádiga - Proposta</vt:lpstr>
      <vt:lpstr>Painél indicadores - Proposta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Avila Teixeira</dc:creator>
  <cp:lastModifiedBy>David Avila Teixeira</cp:lastModifiedBy>
  <dcterms:created xsi:type="dcterms:W3CDTF">2025-03-03T00:57:08Z</dcterms:created>
  <dcterms:modified xsi:type="dcterms:W3CDTF">2025-06-13T09:41:27Z</dcterms:modified>
</cp:coreProperties>
</file>