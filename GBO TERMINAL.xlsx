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6 - ENGENHARIA DE PRODUÇÃO\01 - Projeto F3\Documentos Importantes\"/>
    </mc:Choice>
  </mc:AlternateContent>
  <xr:revisionPtr revIDLastSave="0" documentId="13_ncr:1_{1E278BD4-75F1-4E64-82C2-937D3C7BC493}" xr6:coauthVersionLast="47" xr6:coauthVersionMax="47" xr10:uidLastSave="{00000000-0000-0000-0000-000000000000}"/>
  <bookViews>
    <workbookView xWindow="-120" yWindow="-120" windowWidth="29040" windowHeight="15840" xr2:uid="{7492DDC8-086F-4F86-B168-FA26EDBF5423}"/>
  </bookViews>
  <sheets>
    <sheet name="TD10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H5" i="4"/>
  <c r="H4" i="4"/>
  <c r="H3" i="4"/>
  <c r="H13" i="4"/>
  <c r="B6" i="4"/>
  <c r="A12" i="4"/>
  <c r="A13" i="4" s="1"/>
  <c r="A14" i="4" s="1"/>
  <c r="H32" i="4"/>
  <c r="H33" i="4"/>
  <c r="H31" i="4"/>
  <c r="H26" i="4"/>
  <c r="H24" i="4"/>
  <c r="H25" i="4"/>
  <c r="H21" i="4"/>
  <c r="H12" i="4"/>
  <c r="H38" i="4"/>
  <c r="H37" i="4"/>
  <c r="H36" i="4"/>
  <c r="H35" i="4"/>
  <c r="H34" i="4"/>
  <c r="H30" i="4"/>
  <c r="H29" i="4"/>
  <c r="H28" i="4"/>
  <c r="H27" i="4"/>
  <c r="H23" i="4"/>
  <c r="H22" i="4"/>
  <c r="H20" i="4"/>
  <c r="H19" i="4"/>
  <c r="H18" i="4"/>
  <c r="H17" i="4"/>
  <c r="H16" i="4"/>
  <c r="H15" i="4"/>
  <c r="H14" i="4"/>
  <c r="B7" i="4"/>
  <c r="H11" i="4"/>
  <c r="H10" i="4"/>
  <c r="H9" i="4"/>
  <c r="H8" i="4"/>
  <c r="B8" i="4" l="1"/>
  <c r="B3" i="4"/>
  <c r="B9" i="4" l="1"/>
</calcChain>
</file>

<file path=xl/sharedStrings.xml><?xml version="1.0" encoding="utf-8"?>
<sst xmlns="http://schemas.openxmlformats.org/spreadsheetml/2006/main" count="94" uniqueCount="59">
  <si>
    <t>LINHA</t>
  </si>
  <si>
    <t>TD10</t>
  </si>
  <si>
    <t>EFICIÊNCIA MARÇO/ABRIL</t>
  </si>
  <si>
    <t>TEMPO DE TRABALHO MANUAL</t>
  </si>
  <si>
    <t>ABASTECIMENTO MÁQUINA PINO</t>
  </si>
  <si>
    <t>TEMPO DE SETUP EQUIPTOP</t>
  </si>
  <si>
    <t>TEMPO DE SETUP CAIXA</t>
  </si>
  <si>
    <t>TEMPO SETUP PINO</t>
  </si>
  <si>
    <t>INSPEÇÃO EQUIPTOP</t>
  </si>
  <si>
    <t>Nº DE OPERADORES</t>
  </si>
  <si>
    <t>TEMPO EFETIVO DE OPERAÇÃO DIÁRIA (s)</t>
  </si>
  <si>
    <t>DEMANDA (peça/mês)</t>
  </si>
  <si>
    <t>TEMPO DE TRABALHO MANUAL TOTAL (s)</t>
  </si>
  <si>
    <t>INSPEÇÃO PINO PROJETOR</t>
  </si>
  <si>
    <t>INSPEÇÃO CAIXA DEMAIS COTAS</t>
  </si>
  <si>
    <t>INSPEÇÃO CAIXA COTA A e E</t>
  </si>
  <si>
    <t>INSPEÇÃO PINO MICRÔMETRO COM REGISTRO</t>
  </si>
  <si>
    <t>BATER CAIXA</t>
  </si>
  <si>
    <t>PREENCHIMENTO DE QUADRO</t>
  </si>
  <si>
    <t>TEMPO DE DESLOCAMENTO</t>
  </si>
  <si>
    <t>TROCA DE INSERTO DESBASTE</t>
  </si>
  <si>
    <t>TROCA DE INSERTO ACABAMENTO</t>
  </si>
  <si>
    <t>TROCAR FERRAMENTA EQUIPTOP FRESA</t>
  </si>
  <si>
    <t>TROCA DE FERRAMENTA EQUIPTOP BROCA</t>
  </si>
  <si>
    <t>TROCA DE FERRAMENTA EQUIPTOP MACHO</t>
  </si>
  <si>
    <t>OPERAÇÃO</t>
  </si>
  <si>
    <t>DURAÇÃO DO EVENTO (s)</t>
  </si>
  <si>
    <t>DEMANDA POR TURNO (peças/turno)</t>
  </si>
  <si>
    <t>TAKT TIME (s/peça)</t>
  </si>
  <si>
    <t>DIA ÚTEIS</t>
  </si>
  <si>
    <t>TEMPO DE OPERAÇÃO MANUAL POR PEÇA (s/peça)</t>
  </si>
  <si>
    <r>
      <rPr>
        <b/>
        <sz val="11"/>
        <color theme="1"/>
        <rFont val="Aptos Narrow"/>
        <family val="2"/>
        <scheme val="minor"/>
      </rPr>
      <t>OBS.:</t>
    </r>
    <r>
      <rPr>
        <sz val="11"/>
        <color theme="1"/>
        <rFont val="Aptos Narrow"/>
        <family val="2"/>
        <scheme val="minor"/>
      </rPr>
      <t xml:space="preserve"> Dados de Setup e Eficiência coletados do
referentes aos meses de Março e Abril</t>
    </r>
  </si>
  <si>
    <t>BATER CAIXAS TRILHO DE SAÍDA</t>
  </si>
  <si>
    <t>BATER CAIXAS TRILHO GARGALO</t>
  </si>
  <si>
    <t>SEQUÊNCIA</t>
  </si>
  <si>
    <t>CLASSIFICAÇÃO</t>
  </si>
  <si>
    <t>AV</t>
  </si>
  <si>
    <t>D</t>
  </si>
  <si>
    <t>NNAV</t>
  </si>
  <si>
    <t>AGREGA VALOR</t>
  </si>
  <si>
    <t>NECESSÁRIO, MAS NÃO AGREGA VALOR</t>
  </si>
  <si>
    <t>DESPERDÍCIO</t>
  </si>
  <si>
    <t>FREQUÊNCIA (peças)</t>
  </si>
  <si>
    <t>DESABASTECIMENTO MÁQUINA PINO</t>
  </si>
  <si>
    <t>ABASTECIMENTO EQUIPTOP</t>
  </si>
  <si>
    <t>DESABASTECIMENTO EQUIPTOP</t>
  </si>
  <si>
    <t>ABASTECIMENTO MÁQUINA CAIXA 1</t>
  </si>
  <si>
    <t>ABASTECIMENTO MÁQUINA CAIXA 2</t>
  </si>
  <si>
    <t>DESABASTECIMENTO MÁQUINA CAIXA 1</t>
  </si>
  <si>
    <t>DESABASTECIMENTO MÁQUINA CAIXA 2</t>
  </si>
  <si>
    <t>PREENCHER DIÁRIO DE BORDO PINO</t>
  </si>
  <si>
    <t>PREENCHER DIÁRIO DE BORDO EQUIPTOP</t>
  </si>
  <si>
    <t>PREENCHER DIÁRIO DE BORDO CAIXA</t>
  </si>
  <si>
    <t>MARCAR PEÇA COM O MARCADOR INDUSTRIAL</t>
  </si>
  <si>
    <t>DESLOCAMENTO ATÉ O PALETE DE ENTRADA</t>
  </si>
  <si>
    <t>PEGAR OP</t>
  </si>
  <si>
    <t>DESLOCAMENTO ATÉ O COMPUTADOR</t>
  </si>
  <si>
    <t>MANDAR IMPRIMIR OS DESENHOS TÉCNICOS</t>
  </si>
  <si>
    <t>DESLOCAMENTO ATÉ A IMPRESSORA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</si>
</sst>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4" xfId="0" applyBorder="1"/>
    <xf numFmtId="165" fontId="0" fillId="0" borderId="4" xfId="1" applyNumberFormat="1" applyFont="1" applyBorder="1"/>
    <xf numFmtId="0" fontId="2" fillId="2" borderId="7" xfId="0" applyFont="1" applyFill="1" applyBorder="1"/>
    <xf numFmtId="0" fontId="2" fillId="2" borderId="9" xfId="0" applyFont="1" applyFill="1" applyBorder="1"/>
    <xf numFmtId="165" fontId="0" fillId="0" borderId="8" xfId="1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center" wrapText="1"/>
    </xf>
    <xf numFmtId="43" fontId="0" fillId="0" borderId="10" xfId="1" applyFont="1" applyBorder="1" applyAlignment="1">
      <alignment horizontal="center" vertical="center"/>
    </xf>
    <xf numFmtId="164" fontId="2" fillId="3" borderId="8" xfId="2" applyNumberFormat="1" applyFont="1" applyFill="1" applyBorder="1" applyAlignment="1">
      <alignment horizontal="center" vertical="center"/>
    </xf>
    <xf numFmtId="43" fontId="0" fillId="0" borderId="4" xfId="1" applyFont="1" applyBorder="1"/>
    <xf numFmtId="0" fontId="2" fillId="4" borderId="5" xfId="0" applyFont="1" applyFill="1" applyBorder="1"/>
    <xf numFmtId="0" fontId="2" fillId="4" borderId="6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3" fontId="0" fillId="0" borderId="4" xfId="1" applyNumberFormat="1" applyFont="1" applyBorder="1"/>
  </cellXfs>
  <cellStyles count="3">
    <cellStyle name="Normal" xfId="0" builtinId="0"/>
    <cellStyle name="Porcentagem" xfId="2" builtinId="5"/>
    <cellStyle name="Vírgula" xfId="1" builtinId="3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Quadro</a:t>
            </a:r>
            <a:r>
              <a:rPr lang="pt-BR" baseline="0"/>
              <a:t> Yamazumi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9255510812739705E-2"/>
          <c:y val="4.795973379177703E-2"/>
          <c:w val="0.88541346326801784"/>
          <c:h val="0.735924076780612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'TD10'!$E$8</c:f>
              <c:strCache>
                <c:ptCount val="1"/>
                <c:pt idx="0">
                  <c:v>PREENCHIMENTO DE QUADRO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'TD10'!$H$8</c:f>
              <c:numCache>
                <c:formatCode>_(* #,##0.00_);_(* \(#,##0.00\);_(* "-"??_);_(@_)</c:formatCode>
                <c:ptCount val="1"/>
                <c:pt idx="0">
                  <c:v>1.125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4-4AA8-8744-E6C1C8BD9AC1}"/>
            </c:ext>
          </c:extLst>
        </c:ser>
        <c:ser>
          <c:idx val="1"/>
          <c:order val="1"/>
          <c:tx>
            <c:strRef>
              <c:f>'TD10'!$E$9</c:f>
              <c:strCache>
                <c:ptCount val="1"/>
                <c:pt idx="0">
                  <c:v>BATER CAIXAS TRILHO GARGALO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'TD10'!$H$9</c:f>
              <c:numCache>
                <c:formatCode>_(* #,##0.00_);_(* \(#,##0.00\);_(* "-"??_);_(@_)</c:formatCode>
                <c:ptCount val="1"/>
                <c:pt idx="0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4-4AA8-8744-E6C1C8BD9AC1}"/>
            </c:ext>
          </c:extLst>
        </c:ser>
        <c:ser>
          <c:idx val="2"/>
          <c:order val="2"/>
          <c:tx>
            <c:strRef>
              <c:f>'TD10'!$E$10</c:f>
              <c:strCache>
                <c:ptCount val="1"/>
                <c:pt idx="0">
                  <c:v>TEMPO SETUP PINO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'TD10'!$H$10</c:f>
              <c:numCache>
                <c:formatCode>_(* #,##0.00_);_(* \(#,##0.00\);_(* "-"??_);_(@_)</c:formatCode>
                <c:ptCount val="1"/>
                <c:pt idx="0">
                  <c:v>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24-4AA8-8744-E6C1C8BD9AC1}"/>
            </c:ext>
          </c:extLst>
        </c:ser>
        <c:ser>
          <c:idx val="3"/>
          <c:order val="3"/>
          <c:tx>
            <c:strRef>
              <c:f>'TD10'!$E$11</c:f>
              <c:strCache>
                <c:ptCount val="1"/>
                <c:pt idx="0">
                  <c:v>ABASTECIMENTO MÁQUINA PINO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'TD10'!$H$11</c:f>
              <c:numCache>
                <c:formatCode>_(* #,##0.00_);_(* \(#,##0.00\);_(* "-"??_);_(@_)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24-4AA8-8744-E6C1C8BD9AC1}"/>
            </c:ext>
          </c:extLst>
        </c:ser>
        <c:ser>
          <c:idx val="4"/>
          <c:order val="4"/>
          <c:tx>
            <c:strRef>
              <c:f>'TD10'!$E$14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'TD10'!$H$14</c:f>
              <c:numCache>
                <c:formatCode>_(* #,##0.00_);_(* \(#,##0.00\);_(* "-"??_);_(@_)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24-4AA8-8744-E6C1C8BD9AC1}"/>
            </c:ext>
          </c:extLst>
        </c:ser>
        <c:ser>
          <c:idx val="5"/>
          <c:order val="5"/>
          <c:tx>
            <c:strRef>
              <c:f>'TD10'!$E$15</c:f>
              <c:strCache>
                <c:ptCount val="1"/>
                <c:pt idx="0">
                  <c:v>INSPEÇÃO PINO MICRÔMETRO COM REGISTRO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'TD10'!$H$15</c:f>
              <c:numCache>
                <c:formatCode>_(* #,##0.00_);_(* \(#,##0.00\);_(* "-"??_);_(@_)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24-4AA8-8744-E6C1C8BD9AC1}"/>
            </c:ext>
          </c:extLst>
        </c:ser>
        <c:ser>
          <c:idx val="6"/>
          <c:order val="6"/>
          <c:tx>
            <c:strRef>
              <c:f>'TD10'!$E$16</c:f>
              <c:strCache>
                <c:ptCount val="1"/>
                <c:pt idx="0">
                  <c:v>INSPEÇÃO PINO PROJETOR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'TD10'!$H$16</c:f>
              <c:numCache>
                <c:formatCode>_(* #,##0.00_);_(* \(#,##0.00\);_(* "-"??_);_(@_)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24-4AA8-8744-E6C1C8BD9AC1}"/>
            </c:ext>
          </c:extLst>
        </c:ser>
        <c:ser>
          <c:idx val="7"/>
          <c:order val="7"/>
          <c:tx>
            <c:strRef>
              <c:f>'TD10'!$E$17</c:f>
              <c:strCache>
                <c:ptCount val="1"/>
                <c:pt idx="0">
                  <c:v>BATER CAIXA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'TD10'!$H$17</c:f>
              <c:numCache>
                <c:formatCode>_(* #,##0.00_);_(* \(#,##0.00\);_(* "-"??_);_(@_)</c:formatCode>
                <c:ptCount val="1"/>
                <c:pt idx="0">
                  <c:v>1.6666666666666667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24-4AA8-8744-E6C1C8BD9AC1}"/>
            </c:ext>
          </c:extLst>
        </c:ser>
        <c:ser>
          <c:idx val="8"/>
          <c:order val="8"/>
          <c:tx>
            <c:strRef>
              <c:f>'TD10'!$E$18</c:f>
              <c:strCache>
                <c:ptCount val="1"/>
                <c:pt idx="0">
                  <c:v>TEMPO DE SETUP EQUIPTOP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'TD10'!$H$18</c:f>
              <c:numCache>
                <c:formatCode>_(* #,##0.00_);_(* \(#,##0.00\);_(* "-"??_);_(@_)</c:formatCode>
                <c:ptCount val="1"/>
                <c:pt idx="0">
                  <c:v>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24-4AA8-8744-E6C1C8BD9AC1}"/>
            </c:ext>
          </c:extLst>
        </c:ser>
        <c:ser>
          <c:idx val="9"/>
          <c:order val="9"/>
          <c:tx>
            <c:strRef>
              <c:f>'TD10'!$E$19</c:f>
              <c:strCache>
                <c:ptCount val="1"/>
                <c:pt idx="0">
                  <c:v>INSPEÇÃO EQUIPTOP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'TD10'!$H$19</c:f>
              <c:numCache>
                <c:formatCode>_(* #,##0.00_);_(* \(#,##0.00\);_(* "-"??_);_(@_)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24-4AA8-8744-E6C1C8BD9AC1}"/>
            </c:ext>
          </c:extLst>
        </c:ser>
        <c:ser>
          <c:idx val="10"/>
          <c:order val="10"/>
          <c:tx>
            <c:strRef>
              <c:f>'TD10'!$E$20</c:f>
              <c:strCache>
                <c:ptCount val="1"/>
                <c:pt idx="0">
                  <c:v>ABASTECIMENTO EQUIPTOP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'TD10'!$H$20</c:f>
              <c:numCache>
                <c:formatCode>_(* #,##0.00_);_(* \(#,##0.00\);_(* "-"??_);_(@_)</c:formatCode>
                <c:ptCount val="1"/>
                <c:pt idx="0">
                  <c:v>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24-4AA8-8744-E6C1C8BD9AC1}"/>
            </c:ext>
          </c:extLst>
        </c:ser>
        <c:ser>
          <c:idx val="11"/>
          <c:order val="11"/>
          <c:tx>
            <c:strRef>
              <c:f>'TD10'!$E$22</c:f>
              <c:strCache>
                <c:ptCount val="1"/>
                <c:pt idx="0">
                  <c:v>TEMPO DE SETUP CAIXA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'TD10'!$H$22</c:f>
              <c:numCache>
                <c:formatCode>_(* #,##0.00_);_(* \(#,##0.00\);_(* "-"??_);_(@_)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24-4AA8-8744-E6C1C8BD9AC1}"/>
            </c:ext>
          </c:extLst>
        </c:ser>
        <c:ser>
          <c:idx val="12"/>
          <c:order val="12"/>
          <c:tx>
            <c:strRef>
              <c:f>'TD10'!$E$23</c:f>
              <c:strCache>
                <c:ptCount val="1"/>
                <c:pt idx="0">
                  <c:v>ABASTECIMENTO MÁQUINA CAIXA 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'TD10'!$H$23</c:f>
              <c:numCache>
                <c:formatCode>_(* #,##0.00_);_(* \(#,##0.00\);_(* "-"??_);_(@_)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24-4AA8-8744-E6C1C8BD9AC1}"/>
            </c:ext>
          </c:extLst>
        </c:ser>
        <c:ser>
          <c:idx val="13"/>
          <c:order val="13"/>
          <c:tx>
            <c:strRef>
              <c:f>'TD10'!$E$27</c:f>
              <c:strCache>
                <c:ptCount val="1"/>
                <c:pt idx="0">
                  <c:v>INSPEÇÃO CAIXA COTA A e 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'TD10'!$H$27</c:f>
              <c:numCache>
                <c:formatCode>_(* #,##0.00_);_(* \(#,##0.00\);_(* "-"??_);_(@_)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624-4AA8-8744-E6C1C8BD9AC1}"/>
            </c:ext>
          </c:extLst>
        </c:ser>
        <c:ser>
          <c:idx val="14"/>
          <c:order val="14"/>
          <c:tx>
            <c:strRef>
              <c:f>'TD10'!$E$28</c:f>
              <c:strCache>
                <c:ptCount val="1"/>
                <c:pt idx="0">
                  <c:v>INSPEÇÃO CAIXA DEMAIS COTAS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'TD10'!$H$28</c:f>
              <c:numCache>
                <c:formatCode>_(* #,##0.00_);_(* \(#,##0.00\);_(* "-"??_);_(@_)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24-4AA8-8744-E6C1C8BD9AC1}"/>
            </c:ext>
          </c:extLst>
        </c:ser>
        <c:ser>
          <c:idx val="15"/>
          <c:order val="15"/>
          <c:tx>
            <c:strRef>
              <c:f>'TD10'!$E$29</c:f>
              <c:strCache>
                <c:ptCount val="1"/>
                <c:pt idx="0">
                  <c:v>BATER CAIXAS TRILHO DE SAÍDA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'TD10'!$H$29</c:f>
              <c:numCache>
                <c:formatCode>_(* #,##0.00_);_(* \(#,##0.00\);_(* "-"??_);_(@_)</c:formatCode>
                <c:ptCount val="1"/>
                <c:pt idx="0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624-4AA8-8744-E6C1C8BD9AC1}"/>
            </c:ext>
          </c:extLst>
        </c:ser>
        <c:ser>
          <c:idx val="16"/>
          <c:order val="16"/>
          <c:tx>
            <c:strRef>
              <c:f>'TD10'!$E$30</c:f>
              <c:strCache>
                <c:ptCount val="1"/>
                <c:pt idx="0">
                  <c:v>TEMPO DE DESLOCAMENTO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'TD10'!$H$30</c:f>
              <c:numCache>
                <c:formatCode>_(* #,##0.00_);_(* \(#,##0.00\);_(* "-"??_);_(@_)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624-4AA8-8744-E6C1C8BD9AC1}"/>
            </c:ext>
          </c:extLst>
        </c:ser>
        <c:ser>
          <c:idx val="17"/>
          <c:order val="17"/>
          <c:tx>
            <c:strRef>
              <c:f>'TD10'!$E$34</c:f>
              <c:strCache>
                <c:ptCount val="1"/>
                <c:pt idx="0">
                  <c:v>TROCA DE INSERTO DESBASTE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'TD10'!$H$34</c:f>
              <c:numCache>
                <c:formatCode>_(* #,##0.00_);_(* \(#,##0.00\);_(* "-"??_);_(@_)</c:formatCode>
                <c:ptCount val="1"/>
                <c:pt idx="0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624-4AA8-8744-E6C1C8BD9AC1}"/>
            </c:ext>
          </c:extLst>
        </c:ser>
        <c:ser>
          <c:idx val="18"/>
          <c:order val="18"/>
          <c:tx>
            <c:strRef>
              <c:f>'TD10'!$E$35</c:f>
              <c:strCache>
                <c:ptCount val="1"/>
                <c:pt idx="0">
                  <c:v>TROCA DE INSERTO ACABAMENTO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'TD10'!$H$35</c:f>
              <c:numCache>
                <c:formatCode>_(* #,##0.00_);_(* \(#,##0.00\);_(* "-"??_);_(@_)</c:formatCode>
                <c:ptCount val="1"/>
                <c:pt idx="0">
                  <c:v>0.32727272727272727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624-4AA8-8744-E6C1C8BD9AC1}"/>
            </c:ext>
          </c:extLst>
        </c:ser>
        <c:ser>
          <c:idx val="19"/>
          <c:order val="19"/>
          <c:tx>
            <c:strRef>
              <c:f>'TD10'!$E$36</c:f>
              <c:strCache>
                <c:ptCount val="1"/>
                <c:pt idx="0">
                  <c:v>TROCAR FERRAMENTA EQUIPTOP FRESA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'TD10'!$H$36</c:f>
              <c:numCache>
                <c:formatCode>_(* #,##0.00_);_(* \(#,##0.00\);_(* "-"??_);_(@_)</c:formatCode>
                <c:ptCount val="1"/>
                <c:pt idx="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624-4AA8-8744-E6C1C8BD9AC1}"/>
            </c:ext>
          </c:extLst>
        </c:ser>
        <c:ser>
          <c:idx val="20"/>
          <c:order val="20"/>
          <c:tx>
            <c:strRef>
              <c:f>'TD10'!$E$37</c:f>
              <c:strCache>
                <c:ptCount val="1"/>
                <c:pt idx="0">
                  <c:v>TROCA DE FERRAMENTA EQUIPTOP BROCA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'TD10'!$H$37</c:f>
              <c:numCache>
                <c:formatCode>_(* #,##0.00_);_(* \(#,##0.00\);_(* "-"??_);_(@_)</c:formatCode>
                <c:ptCount val="1"/>
                <c:pt idx="0">
                  <c:v>9.375E-2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24-4AA8-8744-E6C1C8BD9AC1}"/>
            </c:ext>
          </c:extLst>
        </c:ser>
        <c:ser>
          <c:idx val="21"/>
          <c:order val="21"/>
          <c:tx>
            <c:strRef>
              <c:f>'TD10'!$E$38</c:f>
              <c:strCache>
                <c:ptCount val="1"/>
                <c:pt idx="0">
                  <c:v>TROCA DE FERRAMENTA EQUIPTOP MACHO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'TD10'!$H$2</c:f>
              <c:strCache>
                <c:ptCount val="1"/>
                <c:pt idx="0">
                  <c:v>TEMPO DE OPERAÇÃO MANUAL POR PEÇA (s/peça)</c:v>
                </c:pt>
              </c:strCache>
            </c:strRef>
          </c:cat>
          <c:val>
            <c:numRef>
              <c:f>'TD10'!$H$38</c:f>
              <c:numCache>
                <c:formatCode>_(* #,##0.00_);_(* \(#,##0.00\);_(* "-"??_);_(@_)</c:formatCode>
                <c:ptCount val="1"/>
                <c:pt idx="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624-4AA8-8744-E6C1C8BD9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9233584"/>
        <c:axId val="509238264"/>
      </c:barChart>
      <c:catAx>
        <c:axId val="50923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238264"/>
        <c:crosses val="autoZero"/>
        <c:auto val="1"/>
        <c:lblAlgn val="ctr"/>
        <c:lblOffset val="100"/>
        <c:noMultiLvlLbl val="0"/>
      </c:catAx>
      <c:valAx>
        <c:axId val="50923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233584"/>
        <c:crosses val="autoZero"/>
        <c:crossBetween val="between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7707246953984164E-2"/>
          <c:y val="0.81559893034835729"/>
          <c:w val="0.94711273448878108"/>
          <c:h val="0.169784842117105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540201</xdr:colOff>
      <xdr:row>0</xdr:row>
      <xdr:rowOff>108859</xdr:rowOff>
    </xdr:from>
    <xdr:to>
      <xdr:col>29</xdr:col>
      <xdr:colOff>251114</xdr:colOff>
      <xdr:row>56</xdr:row>
      <xdr:rowOff>136073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31A3BC-A689-AB5A-C616-FFB037D02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FD9371-1D16-44F1-BD3E-B5EB0ECC249F}" name="Tabela13" displayName="Tabela13" ref="D2:I38" totalsRowShown="0" headerRowDxfId="9" headerRowBorderDxfId="8" tableBorderDxfId="7" totalsRowBorderDxfId="6">
  <autoFilter ref="D2:I38" xr:uid="{8F6EA8B9-59CF-4908-A7A4-BED2EFF3473E}"/>
  <sortState xmlns:xlrd2="http://schemas.microsoft.com/office/spreadsheetml/2017/richdata2" ref="D3:I38">
    <sortCondition ref="D8:D38"/>
  </sortState>
  <tableColumns count="6">
    <tableColumn id="1" xr3:uid="{BC4B0B24-3BD0-40C4-9F12-D6B44DF2B6A9}" name="SEQUÊNCIA" dataDxfId="5"/>
    <tableColumn id="5" xr3:uid="{AD472A0F-27C3-4205-BAB5-969FDBCF17F0}" name="OPERAÇÃO" dataDxfId="4"/>
    <tableColumn id="2" xr3:uid="{F50E9545-DA08-4770-B21E-3DB68B17A176}" name="FREQUÊNCIA (peças)" dataDxfId="3" dataCellStyle="Vírgula"/>
    <tableColumn id="3" xr3:uid="{E90FD7D4-2E80-4E88-9C77-DC9DC2CE691D}" name="DURAÇÃO DO EVENTO (s)" dataDxfId="2"/>
    <tableColumn id="4" xr3:uid="{2358BD03-3E32-42B7-B770-87120A6164F7}" name="TEMPO DE OPERAÇÃO MANUAL POR PEÇA (s/peça)" dataDxfId="1" dataCellStyle="Vírgula">
      <calculatedColumnFormula>Tabela13[[#This Row],[DURAÇÃO DO EVENTO (s)]]/Tabela13[[#This Row],[FREQUÊNCIA (peças)]]</calculatedColumnFormula>
    </tableColumn>
    <tableColumn id="6" xr3:uid="{DF3F127E-7E22-4662-8E4B-1737103F68B4}" name="CLASSIFICAÇÃO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119A-CC4F-4342-A23C-5915038B0815}">
  <dimension ref="A1:I47"/>
  <sheetViews>
    <sheetView tabSelected="1" zoomScale="70" zoomScaleNormal="70" workbookViewId="0">
      <selection activeCell="D9" sqref="D9"/>
    </sheetView>
  </sheetViews>
  <sheetFormatPr defaultRowHeight="15" x14ac:dyDescent="0.25"/>
  <cols>
    <col min="1" max="1" width="50.7109375" customWidth="1"/>
    <col min="2" max="2" width="10.140625" bestFit="1" customWidth="1"/>
    <col min="3" max="3" width="4.28515625" customWidth="1"/>
    <col min="4" max="4" width="18.28515625" bestFit="1" customWidth="1"/>
    <col min="5" max="5" width="48.28515625" customWidth="1"/>
    <col min="6" max="6" width="29.28515625" customWidth="1"/>
    <col min="7" max="7" width="34.42578125" bestFit="1" customWidth="1"/>
    <col min="8" max="8" width="65" customWidth="1"/>
    <col min="9" max="9" width="23.85546875" bestFit="1" customWidth="1"/>
  </cols>
  <sheetData>
    <row r="1" spans="1:9" ht="15.75" thickBot="1" x14ac:dyDescent="0.3">
      <c r="A1" s="13" t="s">
        <v>0</v>
      </c>
      <c r="B1" s="14" t="s">
        <v>1</v>
      </c>
      <c r="D1" s="16" t="s">
        <v>3</v>
      </c>
      <c r="E1" s="17"/>
      <c r="F1" s="17"/>
      <c r="G1" s="17"/>
      <c r="H1" s="17"/>
      <c r="I1" s="18"/>
    </row>
    <row r="2" spans="1:9" x14ac:dyDescent="0.25">
      <c r="A2" s="3" t="s">
        <v>2</v>
      </c>
      <c r="B2" s="11">
        <v>0.69199999999999995</v>
      </c>
      <c r="D2" s="6" t="s">
        <v>34</v>
      </c>
      <c r="E2" s="6" t="s">
        <v>25</v>
      </c>
      <c r="F2" s="7" t="s">
        <v>42</v>
      </c>
      <c r="G2" s="7" t="s">
        <v>26</v>
      </c>
      <c r="H2" s="8" t="s">
        <v>30</v>
      </c>
      <c r="I2" s="7" t="s">
        <v>35</v>
      </c>
    </row>
    <row r="3" spans="1:9" x14ac:dyDescent="0.25">
      <c r="A3" s="3" t="s">
        <v>12</v>
      </c>
      <c r="B3" s="5">
        <f>SUM(Tabela13[TEMPO DE OPERAÇÃO MANUAL POR PEÇA (s/peça)])</f>
        <v>59.762689393939404</v>
      </c>
      <c r="D3" s="1">
        <v>1</v>
      </c>
      <c r="E3" s="1" t="s">
        <v>54</v>
      </c>
      <c r="F3" s="2">
        <v>450</v>
      </c>
      <c r="G3" s="1">
        <v>5</v>
      </c>
      <c r="H3" s="19">
        <f>Tabela13[[#This Row],[DURAÇÃO DO EVENTO (s)]]/Tabela13[[#This Row],[FREQUÊNCIA (peças)]]</f>
        <v>1.1111111111111112E-2</v>
      </c>
      <c r="I3" s="1" t="s">
        <v>37</v>
      </c>
    </row>
    <row r="4" spans="1:9" x14ac:dyDescent="0.25">
      <c r="A4" s="3" t="s">
        <v>11</v>
      </c>
      <c r="B4" s="5">
        <v>62332</v>
      </c>
      <c r="D4" s="1">
        <v>2</v>
      </c>
      <c r="E4" s="1" t="s">
        <v>55</v>
      </c>
      <c r="F4" s="2">
        <v>450</v>
      </c>
      <c r="G4" s="1">
        <v>4</v>
      </c>
      <c r="H4" s="19">
        <f>Tabela13[[#This Row],[DURAÇÃO DO EVENTO (s)]]/Tabela13[[#This Row],[FREQUÊNCIA (peças)]]</f>
        <v>8.8888888888888889E-3</v>
      </c>
      <c r="I4" s="1" t="s">
        <v>37</v>
      </c>
    </row>
    <row r="5" spans="1:9" x14ac:dyDescent="0.25">
      <c r="A5" s="3" t="s">
        <v>29</v>
      </c>
      <c r="B5" s="5">
        <v>27</v>
      </c>
      <c r="D5" s="1">
        <v>3</v>
      </c>
      <c r="E5" s="1" t="s">
        <v>56</v>
      </c>
      <c r="F5" s="2">
        <v>450</v>
      </c>
      <c r="G5" s="1">
        <v>15</v>
      </c>
      <c r="H5" s="19">
        <f>Tabela13[[#This Row],[DURAÇÃO DO EVENTO (s)]]/Tabela13[[#This Row],[FREQUÊNCIA (peças)]]</f>
        <v>3.3333333333333333E-2</v>
      </c>
      <c r="I5" s="1" t="s">
        <v>37</v>
      </c>
    </row>
    <row r="6" spans="1:9" x14ac:dyDescent="0.25">
      <c r="A6" s="3" t="s">
        <v>10</v>
      </c>
      <c r="B6" s="5">
        <f>3600*8</f>
        <v>28800</v>
      </c>
      <c r="D6" s="1">
        <v>4</v>
      </c>
      <c r="E6" s="1" t="s">
        <v>57</v>
      </c>
      <c r="F6" s="2">
        <v>450</v>
      </c>
      <c r="G6" s="1">
        <v>600</v>
      </c>
      <c r="H6" s="19">
        <f>Tabela13[[#This Row],[DURAÇÃO DO EVENTO (s)]]/Tabela13[[#This Row],[FREQUÊNCIA (peças)]]</f>
        <v>1.3333333333333333</v>
      </c>
      <c r="I6" s="1" t="s">
        <v>38</v>
      </c>
    </row>
    <row r="7" spans="1:9" x14ac:dyDescent="0.25">
      <c r="A7" s="3" t="s">
        <v>27</v>
      </c>
      <c r="B7" s="5">
        <f>B4/B5/3</f>
        <v>769.53086419753083</v>
      </c>
      <c r="D7" s="1">
        <v>5</v>
      </c>
      <c r="E7" s="1" t="s">
        <v>58</v>
      </c>
      <c r="F7" s="2">
        <v>450</v>
      </c>
      <c r="G7" s="1"/>
      <c r="H7" s="19">
        <f>Tabela13[[#This Row],[DURAÇÃO DO EVENTO (s)]]/Tabela13[[#This Row],[FREQUÊNCIA (peças)]]</f>
        <v>0</v>
      </c>
      <c r="I7" s="1"/>
    </row>
    <row r="8" spans="1:9" x14ac:dyDescent="0.25">
      <c r="A8" s="3" t="s">
        <v>28</v>
      </c>
      <c r="B8" s="5">
        <f>B6/B7</f>
        <v>37.425399473785539</v>
      </c>
      <c r="D8" s="1">
        <v>4</v>
      </c>
      <c r="E8" s="1" t="s">
        <v>18</v>
      </c>
      <c r="F8" s="2">
        <v>80</v>
      </c>
      <c r="G8" s="1">
        <v>90</v>
      </c>
      <c r="H8" s="12">
        <f>Tabela13[[#This Row],[DURAÇÃO DO EVENTO (s)]]/Tabela13[[#This Row],[FREQUÊNCIA (peças)]]</f>
        <v>1.125</v>
      </c>
      <c r="I8" s="1" t="s">
        <v>38</v>
      </c>
    </row>
    <row r="9" spans="1:9" ht="15.75" thickBot="1" x14ac:dyDescent="0.3">
      <c r="A9" s="4" t="s">
        <v>9</v>
      </c>
      <c r="B9" s="10">
        <f>B3/B8</f>
        <v>1.596848403336347</v>
      </c>
      <c r="D9" s="1">
        <v>5</v>
      </c>
      <c r="E9" s="1" t="s">
        <v>33</v>
      </c>
      <c r="F9" s="2">
        <v>216</v>
      </c>
      <c r="G9" s="1">
        <v>180</v>
      </c>
      <c r="H9" s="12">
        <f>Tabela13[[#This Row],[DURAÇÃO DO EVENTO (s)]]/Tabela13[[#This Row],[FREQUÊNCIA (peças)]]</f>
        <v>0.83333333333333337</v>
      </c>
      <c r="I9" s="1" t="s">
        <v>37</v>
      </c>
    </row>
    <row r="10" spans="1:9" x14ac:dyDescent="0.25">
      <c r="D10" s="1">
        <v>6</v>
      </c>
      <c r="E10" s="1" t="s">
        <v>7</v>
      </c>
      <c r="F10" s="2">
        <v>450</v>
      </c>
      <c r="G10" s="1">
        <v>594</v>
      </c>
      <c r="H10" s="12">
        <f>Tabela13[[#This Row],[DURAÇÃO DO EVENTO (s)]]/Tabela13[[#This Row],[FREQUÊNCIA (peças)]]</f>
        <v>1.32</v>
      </c>
      <c r="I10" s="1" t="s">
        <v>38</v>
      </c>
    </row>
    <row r="11" spans="1:9" x14ac:dyDescent="0.25">
      <c r="D11" s="1">
        <v>7</v>
      </c>
      <c r="E11" s="1" t="s">
        <v>4</v>
      </c>
      <c r="F11" s="2">
        <v>1</v>
      </c>
      <c r="G11" s="1">
        <v>2</v>
      </c>
      <c r="H11" s="12">
        <f>Tabela13[[#This Row],[DURAÇÃO DO EVENTO (s)]]/Tabela13[[#This Row],[FREQUÊNCIA (peças)]]</f>
        <v>2</v>
      </c>
      <c r="I11" s="1" t="s">
        <v>36</v>
      </c>
    </row>
    <row r="12" spans="1:9" x14ac:dyDescent="0.25">
      <c r="A12">
        <f>3600/33</f>
        <v>109.09090909090909</v>
      </c>
      <c r="D12" s="1">
        <v>8</v>
      </c>
      <c r="E12" s="1" t="s">
        <v>43</v>
      </c>
      <c r="F12" s="2">
        <v>1</v>
      </c>
      <c r="G12" s="1">
        <v>2</v>
      </c>
      <c r="H12" s="12">
        <f>Tabela13[[#This Row],[DURAÇÃO DO EVENTO (s)]]/Tabela13[[#This Row],[FREQUÊNCIA (peças)]]</f>
        <v>2</v>
      </c>
      <c r="I12" s="1" t="s">
        <v>38</v>
      </c>
    </row>
    <row r="13" spans="1:9" x14ac:dyDescent="0.25">
      <c r="A13" s="15">
        <f>A12*24</f>
        <v>2618.181818181818</v>
      </c>
      <c r="D13" s="1">
        <v>9</v>
      </c>
      <c r="E13" s="1" t="s">
        <v>53</v>
      </c>
      <c r="F13" s="2">
        <v>1</v>
      </c>
      <c r="G13" s="1">
        <v>4</v>
      </c>
      <c r="H13" s="19">
        <f>Tabela13[[#This Row],[DURAÇÃO DO EVENTO (s)]]/Tabela13[[#This Row],[FREQUÊNCIA (peças)]]</f>
        <v>4</v>
      </c>
      <c r="I13" s="1" t="s">
        <v>37</v>
      </c>
    </row>
    <row r="14" spans="1:9" x14ac:dyDescent="0.25">
      <c r="A14" s="15">
        <f>A13*27</f>
        <v>70690.909090909088</v>
      </c>
      <c r="D14" s="1">
        <v>10</v>
      </c>
      <c r="E14" s="1">
        <v>2</v>
      </c>
      <c r="F14" s="2">
        <v>30</v>
      </c>
      <c r="G14" s="1">
        <v>10</v>
      </c>
      <c r="H14" s="12">
        <f>Tabela13[[#This Row],[DURAÇÃO DO EVENTO (s)]]/Tabela13[[#This Row],[FREQUÊNCIA (peças)]]</f>
        <v>0.33333333333333331</v>
      </c>
      <c r="I14" s="1" t="s">
        <v>38</v>
      </c>
    </row>
    <row r="15" spans="1:9" x14ac:dyDescent="0.25">
      <c r="A15" s="15"/>
      <c r="D15" s="1">
        <v>11</v>
      </c>
      <c r="E15" s="1" t="s">
        <v>16</v>
      </c>
      <c r="F15" s="2">
        <v>60</v>
      </c>
      <c r="G15" s="1">
        <v>20</v>
      </c>
      <c r="H15" s="12">
        <f>Tabela13[[#This Row],[DURAÇÃO DO EVENTO (s)]]/Tabela13[[#This Row],[FREQUÊNCIA (peças)]]</f>
        <v>0.33333333333333331</v>
      </c>
      <c r="I15" s="1" t="s">
        <v>38</v>
      </c>
    </row>
    <row r="16" spans="1:9" x14ac:dyDescent="0.25">
      <c r="A16" s="15"/>
      <c r="D16" s="1">
        <v>12</v>
      </c>
      <c r="E16" s="1" t="s">
        <v>13</v>
      </c>
      <c r="F16" s="2">
        <v>60</v>
      </c>
      <c r="G16" s="1">
        <v>300</v>
      </c>
      <c r="H16" s="12">
        <f>Tabela13[[#This Row],[DURAÇÃO DO EVENTO (s)]]/Tabela13[[#This Row],[FREQUÊNCIA (peças)]]</f>
        <v>5</v>
      </c>
      <c r="I16" s="1" t="s">
        <v>38</v>
      </c>
    </row>
    <row r="17" spans="4:9" x14ac:dyDescent="0.25">
      <c r="D17" s="1">
        <v>13</v>
      </c>
      <c r="E17" s="1" t="s">
        <v>17</v>
      </c>
      <c r="F17" s="2">
        <v>18</v>
      </c>
      <c r="G17" s="1">
        <v>30</v>
      </c>
      <c r="H17" s="12">
        <f>Tabela13[[#This Row],[DURAÇÃO DO EVENTO (s)]]/Tabela13[[#This Row],[FREQUÊNCIA (peças)]]</f>
        <v>1.6666666666666667</v>
      </c>
      <c r="I17" s="1" t="s">
        <v>37</v>
      </c>
    </row>
    <row r="18" spans="4:9" x14ac:dyDescent="0.25">
      <c r="D18" s="1">
        <v>14</v>
      </c>
      <c r="E18" s="1" t="s">
        <v>5</v>
      </c>
      <c r="F18" s="2">
        <v>450</v>
      </c>
      <c r="G18" s="1">
        <v>1674</v>
      </c>
      <c r="H18" s="12">
        <f>Tabela13[[#This Row],[DURAÇÃO DO EVENTO (s)]]/Tabela13[[#This Row],[FREQUÊNCIA (peças)]]</f>
        <v>3.72</v>
      </c>
      <c r="I18" s="1" t="s">
        <v>38</v>
      </c>
    </row>
    <row r="19" spans="4:9" x14ac:dyDescent="0.25">
      <c r="D19" s="1">
        <v>15</v>
      </c>
      <c r="E19" s="1" t="s">
        <v>8</v>
      </c>
      <c r="F19" s="2">
        <v>50</v>
      </c>
      <c r="G19" s="1">
        <v>40</v>
      </c>
      <c r="H19" s="12">
        <f>Tabela13[[#This Row],[DURAÇÃO DO EVENTO (s)]]/Tabela13[[#This Row],[FREQUÊNCIA (peças)]]</f>
        <v>0.8</v>
      </c>
      <c r="I19" s="1" t="s">
        <v>38</v>
      </c>
    </row>
    <row r="20" spans="4:9" x14ac:dyDescent="0.25">
      <c r="D20" s="1">
        <v>16</v>
      </c>
      <c r="E20" s="1" t="s">
        <v>44</v>
      </c>
      <c r="F20" s="2">
        <v>6</v>
      </c>
      <c r="G20" s="1">
        <v>40</v>
      </c>
      <c r="H20" s="12">
        <f>Tabela13[[#This Row],[DURAÇÃO DO EVENTO (s)]]/Tabela13[[#This Row],[FREQUÊNCIA (peças)]]</f>
        <v>6.666666666666667</v>
      </c>
      <c r="I20" s="1" t="s">
        <v>36</v>
      </c>
    </row>
    <row r="21" spans="4:9" x14ac:dyDescent="0.25">
      <c r="D21" s="1">
        <v>17</v>
      </c>
      <c r="E21" s="1" t="s">
        <v>45</v>
      </c>
      <c r="F21" s="2">
        <v>6</v>
      </c>
      <c r="G21" s="1">
        <v>15</v>
      </c>
      <c r="H21" s="12">
        <f>Tabela13[[#This Row],[DURAÇÃO DO EVENTO (s)]]/Tabela13[[#This Row],[FREQUÊNCIA (peças)]]</f>
        <v>2.5</v>
      </c>
      <c r="I21" s="1" t="s">
        <v>38</v>
      </c>
    </row>
    <row r="22" spans="4:9" x14ac:dyDescent="0.25">
      <c r="D22" s="1">
        <v>18</v>
      </c>
      <c r="E22" s="1" t="s">
        <v>6</v>
      </c>
      <c r="F22" s="2">
        <v>450</v>
      </c>
      <c r="G22" s="1">
        <v>1800</v>
      </c>
      <c r="H22" s="12">
        <f>Tabela13[[#This Row],[DURAÇÃO DO EVENTO (s)]]/Tabela13[[#This Row],[FREQUÊNCIA (peças)]]</f>
        <v>4</v>
      </c>
      <c r="I22" s="1" t="s">
        <v>38</v>
      </c>
    </row>
    <row r="23" spans="4:9" x14ac:dyDescent="0.25">
      <c r="D23" s="1">
        <v>19</v>
      </c>
      <c r="E23" s="1" t="s">
        <v>46</v>
      </c>
      <c r="F23" s="2">
        <v>1</v>
      </c>
      <c r="G23" s="1">
        <v>2</v>
      </c>
      <c r="H23" s="12">
        <f>Tabela13[[#This Row],[DURAÇÃO DO EVENTO (s)]]/Tabela13[[#This Row],[FREQUÊNCIA (peças)]]</f>
        <v>2</v>
      </c>
      <c r="I23" s="1" t="s">
        <v>36</v>
      </c>
    </row>
    <row r="24" spans="4:9" x14ac:dyDescent="0.25">
      <c r="D24" s="1">
        <v>20</v>
      </c>
      <c r="E24" s="1" t="s">
        <v>47</v>
      </c>
      <c r="F24" s="2">
        <v>1</v>
      </c>
      <c r="G24" s="1">
        <v>2</v>
      </c>
      <c r="H24" s="12">
        <f>Tabela13[[#This Row],[DURAÇÃO DO EVENTO (s)]]/Tabela13[[#This Row],[FREQUÊNCIA (peças)]]</f>
        <v>2</v>
      </c>
      <c r="I24" s="1" t="s">
        <v>36</v>
      </c>
    </row>
    <row r="25" spans="4:9" x14ac:dyDescent="0.25">
      <c r="D25" s="1">
        <v>21</v>
      </c>
      <c r="E25" s="1" t="s">
        <v>48</v>
      </c>
      <c r="F25" s="2">
        <v>1</v>
      </c>
      <c r="G25" s="1">
        <v>2</v>
      </c>
      <c r="H25" s="12">
        <f>Tabela13[[#This Row],[DURAÇÃO DO EVENTO (s)]]/Tabela13[[#This Row],[FREQUÊNCIA (peças)]]</f>
        <v>2</v>
      </c>
      <c r="I25" s="1" t="s">
        <v>38</v>
      </c>
    </row>
    <row r="26" spans="4:9" x14ac:dyDescent="0.25">
      <c r="D26" s="1">
        <v>22</v>
      </c>
      <c r="E26" s="1" t="s">
        <v>49</v>
      </c>
      <c r="F26" s="2">
        <v>1</v>
      </c>
      <c r="G26" s="1">
        <v>2</v>
      </c>
      <c r="H26" s="12">
        <f>Tabela13[[#This Row],[DURAÇÃO DO EVENTO (s)]]/Tabela13[[#This Row],[FREQUÊNCIA (peças)]]</f>
        <v>2</v>
      </c>
      <c r="I26" s="1" t="s">
        <v>38</v>
      </c>
    </row>
    <row r="27" spans="4:9" x14ac:dyDescent="0.25">
      <c r="D27" s="1">
        <v>23</v>
      </c>
      <c r="E27" s="1" t="s">
        <v>15</v>
      </c>
      <c r="F27" s="2">
        <v>25</v>
      </c>
      <c r="G27" s="1">
        <v>10</v>
      </c>
      <c r="H27" s="12">
        <f>Tabela13[[#This Row],[DURAÇÃO DO EVENTO (s)]]/Tabela13[[#This Row],[FREQUÊNCIA (peças)]]</f>
        <v>0.4</v>
      </c>
      <c r="I27" s="1" t="s">
        <v>38</v>
      </c>
    </row>
    <row r="28" spans="4:9" x14ac:dyDescent="0.25">
      <c r="D28" s="1">
        <v>24</v>
      </c>
      <c r="E28" s="1" t="s">
        <v>14</v>
      </c>
      <c r="F28" s="2">
        <v>50</v>
      </c>
      <c r="G28" s="1">
        <v>20</v>
      </c>
      <c r="H28" s="12">
        <f>Tabela13[[#This Row],[DURAÇÃO DO EVENTO (s)]]/Tabela13[[#This Row],[FREQUÊNCIA (peças)]]</f>
        <v>0.4</v>
      </c>
      <c r="I28" s="1" t="s">
        <v>38</v>
      </c>
    </row>
    <row r="29" spans="4:9" x14ac:dyDescent="0.25">
      <c r="D29" s="1">
        <v>25</v>
      </c>
      <c r="E29" s="1" t="s">
        <v>32</v>
      </c>
      <c r="F29" s="2">
        <v>216</v>
      </c>
      <c r="G29" s="1">
        <v>180</v>
      </c>
      <c r="H29" s="12">
        <f>Tabela13[[#This Row],[DURAÇÃO DO EVENTO (s)]]/Tabela13[[#This Row],[FREQUÊNCIA (peças)]]</f>
        <v>0.83333333333333337</v>
      </c>
      <c r="I29" s="1" t="s">
        <v>37</v>
      </c>
    </row>
    <row r="30" spans="4:9" x14ac:dyDescent="0.25">
      <c r="D30" s="1">
        <v>26</v>
      </c>
      <c r="E30" s="1" t="s">
        <v>19</v>
      </c>
      <c r="F30" s="2">
        <v>1</v>
      </c>
      <c r="G30" s="1">
        <v>10</v>
      </c>
      <c r="H30" s="12">
        <f>Tabela13[[#This Row],[DURAÇÃO DO EVENTO (s)]]/Tabela13[[#This Row],[FREQUÊNCIA (peças)]]</f>
        <v>10</v>
      </c>
      <c r="I30" s="1" t="s">
        <v>37</v>
      </c>
    </row>
    <row r="31" spans="4:9" x14ac:dyDescent="0.25">
      <c r="D31" s="1">
        <v>27</v>
      </c>
      <c r="E31" s="1" t="s">
        <v>50</v>
      </c>
      <c r="F31" s="2">
        <v>100</v>
      </c>
      <c r="G31" s="1">
        <v>60</v>
      </c>
      <c r="H31" s="12">
        <f>Tabela13[[#This Row],[DURAÇÃO DO EVENTO (s)]]/Tabela13[[#This Row],[FREQUÊNCIA (peças)]]</f>
        <v>0.6</v>
      </c>
      <c r="I31" s="1" t="s">
        <v>37</v>
      </c>
    </row>
    <row r="32" spans="4:9" x14ac:dyDescent="0.25">
      <c r="D32" s="1">
        <v>28</v>
      </c>
      <c r="E32" s="1" t="s">
        <v>51</v>
      </c>
      <c r="F32" s="2">
        <v>100</v>
      </c>
      <c r="G32" s="1">
        <v>60</v>
      </c>
      <c r="H32" s="12">
        <f>Tabela13[[#This Row],[DURAÇÃO DO EVENTO (s)]]/Tabela13[[#This Row],[FREQUÊNCIA (peças)]]</f>
        <v>0.6</v>
      </c>
      <c r="I32" s="1" t="s">
        <v>37</v>
      </c>
    </row>
    <row r="33" spans="1:9" x14ac:dyDescent="0.25">
      <c r="D33" s="1">
        <v>29</v>
      </c>
      <c r="E33" s="1" t="s">
        <v>52</v>
      </c>
      <c r="F33" s="2">
        <v>100</v>
      </c>
      <c r="G33" s="1">
        <v>60</v>
      </c>
      <c r="H33" s="12">
        <f>Tabela13[[#This Row],[DURAÇÃO DO EVENTO (s)]]/Tabela13[[#This Row],[FREQUÊNCIA (peças)]]</f>
        <v>0.6</v>
      </c>
      <c r="I33" s="1" t="s">
        <v>37</v>
      </c>
    </row>
    <row r="34" spans="1:9" ht="30" x14ac:dyDescent="0.25">
      <c r="A34" s="9" t="s">
        <v>31</v>
      </c>
      <c r="D34" s="1">
        <v>30</v>
      </c>
      <c r="E34" s="1" t="s">
        <v>20</v>
      </c>
      <c r="F34" s="2">
        <v>300</v>
      </c>
      <c r="G34" s="1">
        <v>40</v>
      </c>
      <c r="H34" s="12">
        <f>Tabela13[[#This Row],[DURAÇÃO DO EVENTO (s)]]/Tabela13[[#This Row],[FREQUÊNCIA (peças)]]</f>
        <v>0.13333333333333333</v>
      </c>
      <c r="I34" s="1" t="s">
        <v>38</v>
      </c>
    </row>
    <row r="35" spans="1:9" x14ac:dyDescent="0.25">
      <c r="D35" s="1">
        <v>31</v>
      </c>
      <c r="E35" s="1" t="s">
        <v>21</v>
      </c>
      <c r="F35" s="2">
        <v>550</v>
      </c>
      <c r="G35" s="1">
        <v>180</v>
      </c>
      <c r="H35" s="12">
        <f>Tabela13[[#This Row],[DURAÇÃO DO EVENTO (s)]]/Tabela13[[#This Row],[FREQUÊNCIA (peças)]]</f>
        <v>0.32727272727272727</v>
      </c>
      <c r="I35" s="1" t="s">
        <v>38</v>
      </c>
    </row>
    <row r="36" spans="1:9" x14ac:dyDescent="0.25">
      <c r="D36" s="1">
        <v>32</v>
      </c>
      <c r="E36" s="1" t="s">
        <v>22</v>
      </c>
      <c r="F36" s="2">
        <v>6000</v>
      </c>
      <c r="G36" s="1">
        <v>180</v>
      </c>
      <c r="H36" s="12">
        <f>Tabela13[[#This Row],[DURAÇÃO DO EVENTO (s)]]/Tabela13[[#This Row],[FREQUÊNCIA (peças)]]</f>
        <v>0.03</v>
      </c>
      <c r="I36" s="1" t="s">
        <v>38</v>
      </c>
    </row>
    <row r="37" spans="1:9" x14ac:dyDescent="0.25">
      <c r="D37" s="1">
        <v>33</v>
      </c>
      <c r="E37" s="1" t="s">
        <v>23</v>
      </c>
      <c r="F37" s="2">
        <v>1600</v>
      </c>
      <c r="G37" s="1">
        <v>150</v>
      </c>
      <c r="H37" s="12">
        <f>Tabela13[[#This Row],[DURAÇÃO DO EVENTO (s)]]/Tabela13[[#This Row],[FREQUÊNCIA (peças)]]</f>
        <v>9.375E-2</v>
      </c>
      <c r="I37" s="1" t="s">
        <v>38</v>
      </c>
    </row>
    <row r="38" spans="1:9" x14ac:dyDescent="0.25">
      <c r="D38" s="1">
        <v>34</v>
      </c>
      <c r="E38" s="1" t="s">
        <v>24</v>
      </c>
      <c r="F38" s="2">
        <v>4000</v>
      </c>
      <c r="G38" s="1">
        <v>240</v>
      </c>
      <c r="H38" s="12">
        <f>Tabela13[[#This Row],[DURAÇÃO DO EVENTO (s)]]/Tabela13[[#This Row],[FREQUÊNCIA (peças)]]</f>
        <v>0.06</v>
      </c>
      <c r="I38" s="1" t="s">
        <v>38</v>
      </c>
    </row>
    <row r="43" spans="1:9" x14ac:dyDescent="0.25">
      <c r="E43" s="9"/>
    </row>
    <row r="45" spans="1:9" x14ac:dyDescent="0.25">
      <c r="G45" t="s">
        <v>36</v>
      </c>
      <c r="H45" t="s">
        <v>39</v>
      </c>
    </row>
    <row r="46" spans="1:9" x14ac:dyDescent="0.25">
      <c r="G46" t="s">
        <v>38</v>
      </c>
      <c r="H46" t="s">
        <v>40</v>
      </c>
    </row>
    <row r="47" spans="1:9" x14ac:dyDescent="0.25">
      <c r="G47" t="s">
        <v>37</v>
      </c>
      <c r="H47" t="s">
        <v>41</v>
      </c>
    </row>
  </sheetData>
  <mergeCells count="1">
    <mergeCell ref="D1:I1"/>
  </mergeCells>
  <dataValidations count="1">
    <dataValidation type="list" allowBlank="1" showInputMessage="1" showErrorMessage="1" sqref="I3:I38" xr:uid="{9FD40BF4-F885-41FD-B32C-13A5B7DF0FD7}">
      <formula1>$G$45:$G$47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Kichler Martins</dc:creator>
  <cp:lastModifiedBy>Alexandre Kichler Martins</cp:lastModifiedBy>
  <dcterms:created xsi:type="dcterms:W3CDTF">2024-04-17T13:53:15Z</dcterms:created>
  <dcterms:modified xsi:type="dcterms:W3CDTF">2024-04-18T16:31:35Z</dcterms:modified>
</cp:coreProperties>
</file>