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06 - ENGENHARIA DE PRODUÇÃO\27 - PROJETO F4\Pressmatik\"/>
    </mc:Choice>
  </mc:AlternateContent>
  <xr:revisionPtr revIDLastSave="0" documentId="13_ncr:1_{AFF86C80-2232-4B4D-BEE1-8D8AD855417B}" xr6:coauthVersionLast="47" xr6:coauthVersionMax="47" xr10:uidLastSave="{00000000-0000-0000-0000-000000000000}"/>
  <bookViews>
    <workbookView xWindow="-120" yWindow="-120" windowWidth="24240" windowHeight="13140" activeTab="3" xr2:uid="{8D5AC292-A8CA-4825-80BB-5B27157DB2D5}"/>
  </bookViews>
  <sheets>
    <sheet name="CENÁRIO 1" sheetId="1" r:id="rId1"/>
    <sheet name="CENÁRIO 3" sheetId="2" r:id="rId2"/>
    <sheet name="CENÁRIO 4" sheetId="3" r:id="rId3"/>
    <sheet name="CENÁRIO 5" sheetId="4" r:id="rId4"/>
    <sheet name="ETIQUETA CAIXINHA" sheetId="5" r:id="rId5"/>
    <sheet name="MASTER" sheetId="8" r:id="rId6"/>
    <sheet name="COMPARAÇÃO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6" l="1"/>
  <c r="D8" i="6"/>
  <c r="D7" i="6"/>
  <c r="D5" i="6"/>
  <c r="A11" i="4"/>
  <c r="A15" i="6"/>
  <c r="A12" i="6"/>
  <c r="A18" i="6" s="1"/>
  <c r="C5" i="6"/>
  <c r="B5" i="6"/>
  <c r="A5" i="6"/>
  <c r="E15" i="3"/>
  <c r="E11" i="2"/>
  <c r="E18" i="1"/>
  <c r="C14" i="4"/>
  <c r="C15" i="3"/>
  <c r="C11" i="2"/>
  <c r="C11" i="4"/>
  <c r="A15" i="3"/>
  <c r="A11" i="2"/>
  <c r="C23" i="1"/>
  <c r="C20" i="1"/>
  <c r="G11" i="8"/>
  <c r="G8" i="8"/>
  <c r="G5" i="8"/>
  <c r="G2" i="8"/>
  <c r="C7" i="8"/>
  <c r="A7" i="8"/>
  <c r="C4" i="8"/>
  <c r="A4" i="8"/>
  <c r="C9" i="5"/>
  <c r="C10" i="5"/>
  <c r="C6" i="5"/>
  <c r="C7" i="5"/>
  <c r="C11" i="5"/>
  <c r="C8" i="5"/>
  <c r="C5" i="5"/>
  <c r="C4" i="5"/>
  <c r="C3" i="5"/>
  <c r="C2" i="5"/>
  <c r="K7" i="4"/>
  <c r="K6" i="4"/>
  <c r="K5" i="4"/>
  <c r="K4" i="4"/>
  <c r="K3" i="4"/>
  <c r="K2" i="4"/>
  <c r="G7" i="4"/>
  <c r="G6" i="4"/>
  <c r="G5" i="4"/>
  <c r="G4" i="4"/>
  <c r="G3" i="4"/>
  <c r="G2" i="4"/>
  <c r="C7" i="4"/>
  <c r="C6" i="4"/>
  <c r="C5" i="4"/>
  <c r="C4" i="4"/>
  <c r="C3" i="4"/>
  <c r="C2" i="4"/>
  <c r="O9" i="3"/>
  <c r="O10" i="3"/>
  <c r="O11" i="3"/>
  <c r="K9" i="3"/>
  <c r="K10" i="3"/>
  <c r="K11" i="3"/>
  <c r="G9" i="3"/>
  <c r="G10" i="3"/>
  <c r="G11" i="3"/>
  <c r="C9" i="3"/>
  <c r="C10" i="3"/>
  <c r="C11" i="3"/>
  <c r="O6" i="3"/>
  <c r="O7" i="3"/>
  <c r="K6" i="3"/>
  <c r="K7" i="3"/>
  <c r="G6" i="3"/>
  <c r="G7" i="3"/>
  <c r="C6" i="3"/>
  <c r="C7" i="3"/>
  <c r="O8" i="3"/>
  <c r="O5" i="3"/>
  <c r="O4" i="3"/>
  <c r="O3" i="3"/>
  <c r="O2" i="3"/>
  <c r="K8" i="3"/>
  <c r="K5" i="3"/>
  <c r="K4" i="3"/>
  <c r="K3" i="3"/>
  <c r="K2" i="3"/>
  <c r="G8" i="3"/>
  <c r="G5" i="3"/>
  <c r="G4" i="3"/>
  <c r="G3" i="3"/>
  <c r="G2" i="3"/>
  <c r="C8" i="3"/>
  <c r="C5" i="3"/>
  <c r="C4" i="3"/>
  <c r="C3" i="3"/>
  <c r="C2" i="3"/>
  <c r="C2" i="2"/>
  <c r="C3" i="2"/>
  <c r="C4" i="2"/>
  <c r="C5" i="2"/>
  <c r="C6" i="2"/>
  <c r="C7" i="2"/>
  <c r="S7" i="2"/>
  <c r="S6" i="2"/>
  <c r="S5" i="2"/>
  <c r="S4" i="2"/>
  <c r="S3" i="2"/>
  <c r="S2" i="2"/>
  <c r="O7" i="2"/>
  <c r="O6" i="2"/>
  <c r="O5" i="2"/>
  <c r="O4" i="2"/>
  <c r="O3" i="2"/>
  <c r="O2" i="2"/>
  <c r="K7" i="2"/>
  <c r="K6" i="2"/>
  <c r="K5" i="2"/>
  <c r="K4" i="2"/>
  <c r="K3" i="2"/>
  <c r="K2" i="2"/>
  <c r="G7" i="2"/>
  <c r="G6" i="2"/>
  <c r="G5" i="2"/>
  <c r="G4" i="2"/>
  <c r="G3" i="2"/>
  <c r="G2" i="2"/>
  <c r="C12" i="5" l="1"/>
  <c r="K8" i="4"/>
  <c r="G8" i="4"/>
  <c r="C8" i="4"/>
  <c r="O12" i="3"/>
  <c r="G12" i="3"/>
  <c r="C12" i="3"/>
  <c r="K12" i="3"/>
  <c r="C8" i="2"/>
  <c r="S8" i="2"/>
  <c r="O8" i="2"/>
  <c r="K8" i="2"/>
  <c r="G8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K15" i="1" l="1"/>
  <c r="C15" i="1"/>
  <c r="G15" i="1"/>
  <c r="O15" i="1"/>
</calcChain>
</file>

<file path=xl/sharedStrings.xml><?xml version="1.0" encoding="utf-8"?>
<sst xmlns="http://schemas.openxmlformats.org/spreadsheetml/2006/main" count="92" uniqueCount="41">
  <si>
    <t>INÍCIO PORCA</t>
  </si>
  <si>
    <t>FINAL PORCA</t>
  </si>
  <si>
    <t>INÍCIO SAQUINHO</t>
  </si>
  <si>
    <t xml:space="preserve">FINAL SAQUINHO </t>
  </si>
  <si>
    <t>INÍCIO OPERAÇÃO PRESSMATIK</t>
  </si>
  <si>
    <t>FINAL OPERAÇÃO PRESSMATIK</t>
  </si>
  <si>
    <t>TEMPO TOTAL DE OPERAÇÃO(s)</t>
  </si>
  <si>
    <t>TEMPO TOTAL(s)</t>
  </si>
  <si>
    <t>TOTAL PORCA(s)</t>
  </si>
  <si>
    <t>TOTAL SAQUINHO(s)</t>
  </si>
  <si>
    <t>TOTAL MASTER(s)</t>
  </si>
  <si>
    <t>INÍCIO BUCHA</t>
  </si>
  <si>
    <t>FINAL BUCHA</t>
  </si>
  <si>
    <t>TOTAL BUCHA</t>
  </si>
  <si>
    <t>INÍCIO ETIQUETA</t>
  </si>
  <si>
    <t>FINAL ETIQUETA</t>
  </si>
  <si>
    <t>TOTAL ETIQUETA(s)</t>
  </si>
  <si>
    <t>INÍCIO CAIXINHA</t>
  </si>
  <si>
    <t>FINAL CAIXINHA</t>
  </si>
  <si>
    <t>TOTAL CAIXINHA(s)</t>
  </si>
  <si>
    <t>INÍCIO FINALIZAÇÃO MASTER</t>
  </si>
  <si>
    <t>FINAL FINALIZAÇÃO MASTER</t>
  </si>
  <si>
    <t>INÍCIO MONTAGEM MASTER</t>
  </si>
  <si>
    <t>FINAL MONTAGEM MASTER</t>
  </si>
  <si>
    <t xml:space="preserve">MONTAGEM MASTER </t>
  </si>
  <si>
    <t>FINALIZAÇÃO MASTER</t>
  </si>
  <si>
    <t>TEMPO MÉDIO ETIQUETA</t>
  </si>
  <si>
    <t xml:space="preserve">TEMPO MÉDIO BUCHA </t>
  </si>
  <si>
    <t>CICLO FINALIZAÇÃO MASTER</t>
  </si>
  <si>
    <t>CICLO MONTAGEM MASTER</t>
  </si>
  <si>
    <t>CENÁRIO 1 T. CICLO</t>
  </si>
  <si>
    <t>CENÁRIO 3 T. CICLO</t>
  </si>
  <si>
    <t>CENÁRIO 4 T. CICLO</t>
  </si>
  <si>
    <t>CENÁRIO 5 T. CICLO</t>
  </si>
  <si>
    <t>CENÁRIO 1 ENTREGA HORA/PÇ</t>
  </si>
  <si>
    <t>CENÁRIO 3 ENTREGA HORA/PÇ</t>
  </si>
  <si>
    <t>CENÁRIO 4 ENTREGA HORA/PÇ</t>
  </si>
  <si>
    <t>CENÁRIO 5 ENTREGA HORA/PÇ</t>
  </si>
  <si>
    <t>Gap</t>
  </si>
  <si>
    <t>Melhor tempo ciclo</t>
  </si>
  <si>
    <t>Takt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</si>
</sst>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129"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522CFA-04BF-4A53-B2A7-07FD3C2A1080}" name="Tabela3" displayName="Tabela3" ref="A1:C15" totalsRowShown="0">
  <autoFilter ref="A1:C15" xr:uid="{F8522CFA-04BF-4A53-B2A7-07FD3C2A1080}"/>
  <tableColumns count="3">
    <tableColumn id="1" xr3:uid="{7DB1DD70-4699-401A-B1FC-51AFD331017C}" name="INÍCIO OPERAÇÃO PRESSMATIK" dataDxfId="128"/>
    <tableColumn id="2" xr3:uid="{96477407-7666-4ECF-B517-B4484B78858F}" name="FINAL OPERAÇÃO PRESSMATIK" dataDxfId="127"/>
    <tableColumn id="3" xr3:uid="{1C6A18B3-436D-4A32-9B79-E4AC349133B0}" name="TEMPO TOTAL(s)" dataDxfId="126">
      <calculatedColumnFormula>(B2-A2)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1386C78-6129-4B63-8BA8-3B20D73A0250}" name="Tabela4" displayName="Tabela4" ref="E1:G15" totalsRowShown="0">
  <autoFilter ref="E1:G15" xr:uid="{41386C78-6129-4B63-8BA8-3B20D73A0250}"/>
  <tableColumns count="3">
    <tableColumn id="1" xr3:uid="{FB46C3A3-4E7A-4CBF-BC0B-897CDD6D9076}" name="INÍCIO PORCA" dataDxfId="125"/>
    <tableColumn id="2" xr3:uid="{18CF5D4A-B5DB-465F-9E2B-D43309F4EFE4}" name="FINAL PORCA" dataDxfId="124"/>
    <tableColumn id="3" xr3:uid="{AA5921CC-D6FC-4FF7-868E-7F6ACDD9A418}" name="TOTAL PORCA(s)" dataDxfId="123">
      <calculatedColumnFormula>(F2-E2)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5605C2-1B99-4E83-A02D-B49E48DFDE55}" name="Tabela5" displayName="Tabela5" ref="I1:K15" totalsRowShown="0">
  <autoFilter ref="I1:K15" xr:uid="{AA5605C2-1B99-4E83-A02D-B49E48DFDE55}"/>
  <tableColumns count="3">
    <tableColumn id="1" xr3:uid="{AE722C76-9BC5-4282-879F-219350A1A155}" name="INÍCIO SAQUINHO" dataDxfId="122"/>
    <tableColumn id="2" xr3:uid="{F2206A12-7B7D-4DC9-878C-4723521963D0}" name="FINAL SAQUINHO " dataDxfId="121"/>
    <tableColumn id="3" xr3:uid="{615E910E-B9AE-4948-BB66-A480DD6FAFDB}" name="TOTAL SAQUINHO(s)" dataDxfId="120">
      <calculatedColumnFormula>(J2-I2)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F29C10-EC8A-42C0-9109-7190DC4FF39D}" name="Tabela1" displayName="Tabela1" ref="M1:O15" totalsRowShown="0">
  <autoFilter ref="M1:O15" xr:uid="{6DF29C10-EC8A-42C0-9109-7190DC4FF39D}"/>
  <tableColumns count="3">
    <tableColumn id="1" xr3:uid="{01C15981-6F7E-49B6-B4A4-1D96852F8B75}" name="INÍCIO CAIXINHA" dataDxfId="119"/>
    <tableColumn id="2" xr3:uid="{7543A27E-568D-4671-8D6B-48EF6F01E90F}" name="FINAL CAIXINHA" dataDxfId="118"/>
    <tableColumn id="3" xr3:uid="{321CD416-DE67-42C9-9DA3-8E84B3393F04}" name="TOTAL CAIXINHA(s)" dataDxfId="117">
      <calculatedColumnFormula>(N2-M2)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72D5B48E-3D5F-4CD9-819C-1154996A707E}" name="Tabela37" displayName="Tabela37" ref="A19:A20" totalsRowShown="0" headerRowDxfId="116" dataDxfId="115">
  <autoFilter ref="A19:A20" xr:uid="{72D5B48E-3D5F-4CD9-819C-1154996A707E}"/>
  <tableColumns count="1">
    <tableColumn id="1" xr3:uid="{4D81A005-5376-4505-AC2D-8D64ECAD1625}" name="TEMPO MÉDIO ETIQUETA" dataDxfId="114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1D7D7F-C356-40D5-88B3-BEE7A5817911}" name="Tabela6414243" displayName="Tabela6414243" ref="E17:E18" totalsRowShown="0" headerRowDxfId="113" dataDxfId="112">
  <autoFilter ref="E17:E18" xr:uid="{201D7D7F-C356-40D5-88B3-BEE7A5817911}"/>
  <tableColumns count="1">
    <tableColumn id="1" xr3:uid="{56BB9EB3-0EAE-42CE-B147-81E5C483AFC3}" name="TEMPO TOTAL DE OPERAÇÃO(s)" dataDxfId="111">
      <calculatedColumnFormula>(C15+G15+K15+O15+A20+A23+C20+C23)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8493023-1B32-46ED-A03D-8632FB4C15F1}" name="Tabela46" displayName="Tabela46" ref="A22:A23" totalsRowShown="0" headerRowDxfId="110" dataDxfId="109">
  <autoFilter ref="A22:A23" xr:uid="{88493023-1B32-46ED-A03D-8632FB4C15F1}"/>
  <tableColumns count="1">
    <tableColumn id="1" xr3:uid="{ADBC6A14-A816-4997-80E9-4BD28E460F7F}" name="TEMPO MÉDIO BUCHA " dataDxfId="10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AA23871-9FDD-471E-9676-5E2B9A42A329}" name="Tabela3548" displayName="Tabela3548" ref="C19:C20" totalsRowShown="0" headerRowDxfId="107" dataDxfId="106">
  <autoFilter ref="C19:C20" xr:uid="{1AA23871-9FDD-471E-9676-5E2B9A42A329}"/>
  <tableColumns count="1">
    <tableColumn id="1" xr3:uid="{821A117B-C0C8-44F4-92F5-B941701928F2}" name="CICLO MONTAGEM MASTER" dataDxfId="105">
      <calculatedColumnFormula>14.94/18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E68CCD6A-9CA5-48BA-97B2-1B8C77BCE53E}" name="Tabela3649" displayName="Tabela3649" ref="C22:C23" totalsRowShown="0" headerRowDxfId="104" dataDxfId="103">
  <autoFilter ref="C22:C23" xr:uid="{E68CCD6A-9CA5-48BA-97B2-1B8C77BCE53E}"/>
  <tableColumns count="1">
    <tableColumn id="1" xr3:uid="{16A575B8-DCC9-4B09-B3A0-03A9352F5996}" name="CICLO FINALIZAÇÃO MASTER" dataDxfId="102">
      <calculatedColumnFormula>22.22/18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6A65A8E-3F5F-447E-A7AF-F4901797D35A}" name="Tabela39" displayName="Tabela39" ref="E1:G8" totalsRowShown="0">
  <autoFilter ref="E1:G8" xr:uid="{16A65A8E-3F5F-447E-A7AF-F4901797D35A}"/>
  <tableColumns count="3">
    <tableColumn id="1" xr3:uid="{D02702F5-9FBB-44B7-ADC1-CE4BA03A691B}" name="INÍCIO OPERAÇÃO PRESSMATIK" dataDxfId="101"/>
    <tableColumn id="2" xr3:uid="{36EF5811-5AB7-4E7A-AC84-920CBE1BAE86}" name="FINAL OPERAÇÃO PRESSMATIK" dataDxfId="100"/>
    <tableColumn id="3" xr3:uid="{6AE35F9A-871C-43E5-9B21-F7A40CF11ED2}" name="TEMPO TOTAL(s)" dataDxfId="99">
      <calculatedColumnFormula>(F2-E2)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5CB8B80-0AE0-4807-BDE8-8C50B8EB5320}" name="Tabela411" displayName="Tabela411" ref="I1:K8" totalsRowShown="0">
  <autoFilter ref="I1:K8" xr:uid="{95CB8B80-0AE0-4807-BDE8-8C50B8EB5320}"/>
  <tableColumns count="3">
    <tableColumn id="1" xr3:uid="{7DC0AF56-AB88-4FDD-AA01-F724AAF08DD0}" name="INÍCIO PORCA" dataDxfId="98"/>
    <tableColumn id="2" xr3:uid="{24183DD2-14E2-47F5-9E70-2FEDB8B6C2D3}" name="FINAL PORCA" dataDxfId="97"/>
    <tableColumn id="3" xr3:uid="{C324F7D7-D25F-4F21-992A-7E1F69C953F9}" name="TOTAL PORCA(s)" dataDxfId="96">
      <calculatedColumnFormula>(J2-I2)</calculatedColumnFormula>
    </tableColumn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985F7EA-A646-43EE-AE4C-17600094707E}" name="Tabela512" displayName="Tabela512" ref="M1:O8" totalsRowShown="0">
  <autoFilter ref="M1:O8" xr:uid="{B985F7EA-A646-43EE-AE4C-17600094707E}"/>
  <tableColumns count="3">
    <tableColumn id="1" xr3:uid="{3BB1876D-E696-4209-BD3C-A48DDDAD59C3}" name="INÍCIO SAQUINHO" dataDxfId="95"/>
    <tableColumn id="2" xr3:uid="{A6CF05F1-DC3B-463B-9338-84E045718595}" name="FINAL SAQUINHO " dataDxfId="94"/>
    <tableColumn id="3" xr3:uid="{90603620-9C6E-4606-8060-A1746E18492F}" name="TOTAL SAQUINHO(s)" dataDxfId="93">
      <calculatedColumnFormula>(N2-M2)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8994B7D-20D2-47BD-9D67-63C676B36A37}" name="Tabela113" displayName="Tabela113" ref="Q1:S8" totalsRowShown="0">
  <autoFilter ref="Q1:S8" xr:uid="{48994B7D-20D2-47BD-9D67-63C676B36A37}"/>
  <tableColumns count="3">
    <tableColumn id="1" xr3:uid="{81ED5D45-8D4C-4E32-A16A-487AA955BB11}" name="INÍCIO CAIXINHA" dataDxfId="92"/>
    <tableColumn id="2" xr3:uid="{A91C4A2D-2382-4A0D-95E5-615A95981312}" name="FINAL CAIXINHA" dataDxfId="91"/>
    <tableColumn id="3" xr3:uid="{069D3FC7-66FD-4882-8B71-29F6C21CE966}" name="TOTAL CAIXINHA(s)" dataDxfId="90">
      <calculatedColumnFormula>(R2-Q2)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6AD8A21-ED35-4C79-9539-D379546C6D7F}" name="Tabela13" displayName="Tabela13" ref="A1:C8" totalsRowShown="0">
  <autoFilter ref="A1:C8" xr:uid="{06AD8A21-ED35-4C79-9539-D379546C6D7F}"/>
  <tableColumns count="3">
    <tableColumn id="1" xr3:uid="{918215CA-7AD8-4113-89C0-9616F340887E}" name="INÍCIO BUCHA" dataDxfId="89"/>
    <tableColumn id="2" xr3:uid="{5E023F86-D3CA-44B6-ABDD-4B9D0D943107}" name="FINAL BUCHA" dataDxfId="88"/>
    <tableColumn id="3" xr3:uid="{72DEAE41-6671-42DB-BC52-7C69E833C3E6}" name="TOTAL BUCHA" dataDxfId="87">
      <calculatedColumnFormula>(B2-A2)</calculatedColumnFormula>
    </tableColumn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25A8F03-04B5-486E-85E1-AC0294E00774}" name="Tabela615" displayName="Tabela615" ref="E10:E11" totalsRowShown="0" headerRowDxfId="86" dataDxfId="85">
  <autoFilter ref="E10:E11" xr:uid="{725A8F03-04B5-486E-85E1-AC0294E00774}"/>
  <tableColumns count="1">
    <tableColumn id="1" xr3:uid="{157B940E-2F2E-4C90-B2C5-F9B7E4406E6C}" name="TEMPO TOTAL DE OPERAÇÃO(s)" dataDxfId="84">
      <calculatedColumnFormula>(C8+G8+K8+O8+S8+A11+C11)</calculatedColumnFormula>
    </tableColumn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111FC6D3-05DA-439B-B736-00474F7249E3}" name="Tabela354853" displayName="Tabela354853" ref="A10:A11" totalsRowShown="0" headerRowDxfId="83" dataDxfId="82">
  <autoFilter ref="A10:A11" xr:uid="{111FC6D3-05DA-439B-B736-00474F7249E3}"/>
  <tableColumns count="1">
    <tableColumn id="1" xr3:uid="{71976397-768F-4C50-8D50-D4B14EE5A886}" name="CICLO MONTAGEM MASTER" dataDxfId="81">
      <calculatedColumnFormula>14.94/18</calculatedColumnFormula>
    </tableColumn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FFD93060-8EE8-4AC9-B6C7-32A184146862}" name="Tabela364956" displayName="Tabela364956" ref="C10:C11" totalsRowShown="0" headerRowDxfId="80" dataDxfId="79">
  <autoFilter ref="C10:C11" xr:uid="{FFD93060-8EE8-4AC9-B6C7-32A184146862}"/>
  <tableColumns count="1">
    <tableColumn id="1" xr3:uid="{FAEF393F-6F68-46F7-AE4C-4A1D05B3FBB4}" name="CICLO FINALIZAÇÃO MASTER" dataDxfId="78">
      <calculatedColumnFormula>22.22/18</calculatedColumnFormula>
    </tableColumn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80B0937-14D4-4FEF-BEBF-4187AB228E17}" name="Tabela1317" displayName="Tabela1317" ref="A1:C12" totalsRowShown="0">
  <autoFilter ref="A1:C12" xr:uid="{580B0937-14D4-4FEF-BEBF-4187AB228E17}"/>
  <tableColumns count="3">
    <tableColumn id="1" xr3:uid="{5BE90939-CBA9-4F91-AA4F-94076731CB5B}" name="INÍCIO BUCHA" dataDxfId="77"/>
    <tableColumn id="2" xr3:uid="{1936BF39-175A-4343-8601-7812FC9F85C9}" name="FINAL BUCHA" dataDxfId="76"/>
    <tableColumn id="3" xr3:uid="{0BC5677D-B866-4668-B2A6-0F7E4D7A5258}" name="TOTAL BUCHA" dataDxfId="75">
      <calculatedColumnFormula>(B2-A2)</calculatedColumnFormula>
    </tableColumn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C11A544-B4EE-4D73-BB0E-2EA4A2489BD5}" name="Tabela3918" displayName="Tabela3918" ref="E1:G12" totalsRowShown="0">
  <autoFilter ref="E1:G12" xr:uid="{CC11A544-B4EE-4D73-BB0E-2EA4A2489BD5}"/>
  <tableColumns count="3">
    <tableColumn id="1" xr3:uid="{7D823187-5999-4D58-9D76-25A13326EA61}" name="INÍCIO OPERAÇÃO PRESSMATIK" dataDxfId="74"/>
    <tableColumn id="2" xr3:uid="{1E5FC156-3170-4BC9-BCDA-32DD83E84167}" name="FINAL OPERAÇÃO PRESSMATIK" dataDxfId="73"/>
    <tableColumn id="3" xr3:uid="{43FE8417-D0FC-4BF2-93F5-7517BB3E07C9}" name="TEMPO TOTAL(s)" dataDxfId="72">
      <calculatedColumnFormula>(F2-E2)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C2EFE003-9C34-4AE3-8B8B-F439FF01B88F}" name="Tabela51219" displayName="Tabela51219" ref="I1:K12" totalsRowShown="0">
  <autoFilter ref="I1:K12" xr:uid="{C2EFE003-9C34-4AE3-8B8B-F439FF01B88F}"/>
  <tableColumns count="3">
    <tableColumn id="1" xr3:uid="{67296852-C076-4E48-9E38-442559AEE2EC}" name="INÍCIO SAQUINHO" dataDxfId="71"/>
    <tableColumn id="2" xr3:uid="{D080C9AC-E629-4CF2-BD87-C62B63AEB679}" name="FINAL SAQUINHO " dataDxfId="70"/>
    <tableColumn id="3" xr3:uid="{D8B3CB6B-DBFA-48F2-8E9D-BC40F217D228}" name="TOTAL SAQUINHO(s)" dataDxfId="69">
      <calculatedColumnFormula>(J2-I2)</calculatedColumnFormula>
    </tableColumn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58F21F5-3B5A-4B35-B1F6-53940FDB417F}" name="Tabela11320" displayName="Tabela11320" ref="M1:O12" totalsRowShown="0">
  <autoFilter ref="M1:O12" xr:uid="{F58F21F5-3B5A-4B35-B1F6-53940FDB417F}"/>
  <tableColumns count="3">
    <tableColumn id="1" xr3:uid="{14A0319E-1837-475F-9953-5AABCDBF027C}" name="INÍCIO CAIXINHA" dataDxfId="68"/>
    <tableColumn id="2" xr3:uid="{DD5D075B-9548-415B-8519-3748D77D8CFF}" name="FINAL CAIXINHA" dataDxfId="67"/>
    <tableColumn id="3" xr3:uid="{482DDA79-D8D7-41DA-974E-0F28282F49BF}" name="TOTAL CAIXINHA(s)" dataDxfId="66">
      <calculatedColumnFormula>(N2-M2)</calculatedColumnFormula>
    </tableColumn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20E9922-7483-46C6-8EC1-48258225D0AA}" name="Tabela61522" displayName="Tabela61522" ref="E14:E15" totalsRowShown="0" headerRowDxfId="65" dataDxfId="64">
  <autoFilter ref="E14:E15" xr:uid="{920E9922-7483-46C6-8EC1-48258225D0AA}"/>
  <tableColumns count="1">
    <tableColumn id="1" xr3:uid="{3FA4B7AD-A293-4151-9C4B-77FA6336537A}" name="TEMPO TOTAL DE OPERAÇÃO(s)" dataDxfId="63">
      <calculatedColumnFormula>(C12+G12+K12+O12+S12+A15+C15)</calculatedColumnFormula>
    </tableColumn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2D0AE997-1C23-45F0-969F-317071F1343D}" name="Tabela354854" displayName="Tabela354854" ref="A14:A15" totalsRowShown="0" headerRowDxfId="62" dataDxfId="61">
  <autoFilter ref="A14:A15" xr:uid="{2D0AE997-1C23-45F0-969F-317071F1343D}"/>
  <tableColumns count="1">
    <tableColumn id="1" xr3:uid="{FE47F04B-B712-4CEF-AB8E-56EF9DC76116}" name="CICLO MONTAGEM MASTER" dataDxfId="60">
      <calculatedColumnFormula>14.94/18</calculatedColumnFormula>
    </tableColumn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ED50D3AB-3582-4050-9B89-96413DEFB3A1}" name="Tabela364957" displayName="Tabela364957" ref="C14:C15" totalsRowShown="0" headerRowDxfId="59" dataDxfId="58">
  <autoFilter ref="C14:C15" xr:uid="{ED50D3AB-3582-4050-9B89-96413DEFB3A1}"/>
  <tableColumns count="1">
    <tableColumn id="1" xr3:uid="{384F0750-6FF4-44F4-A7F7-D280DD911347}" name="CICLO FINALIZAÇÃO MASTER" dataDxfId="57">
      <calculatedColumnFormula>22.22/18</calculatedColumnFormula>
    </tableColumn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417B72-5C86-4B8D-8F87-993E47AC1354}" name="Tabela391824" displayName="Tabela391824" ref="A1:C8" totalsRowShown="0">
  <autoFilter ref="A1:C8" xr:uid="{ED417B72-5C86-4B8D-8F87-993E47AC1354}"/>
  <tableColumns count="3">
    <tableColumn id="1" xr3:uid="{01FB11BE-B0C4-4987-A5D7-4340F6038B2E}" name="INÍCIO OPERAÇÃO PRESSMATIK" dataDxfId="56"/>
    <tableColumn id="2" xr3:uid="{40FF83B0-4032-4C43-B633-31A1D3130904}" name="FINAL OPERAÇÃO PRESSMATIK" dataDxfId="55"/>
    <tableColumn id="3" xr3:uid="{3658AE99-D33B-41F7-8EA6-E45F801E8436}" name="TEMPO TOTAL(s)" dataDxfId="54">
      <calculatedColumnFormula>(B2-A2)</calculatedColumnFormula>
    </tableColumn>
  </tableColumns>
  <tableStyleInfo name="TableStyleLight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5E7B5B5-A0BF-4094-B5A0-489CABF1C26D}" name="Tabela5121925" displayName="Tabela5121925" ref="E1:G8" totalsRowShown="0">
  <autoFilter ref="E1:G8" xr:uid="{05E7B5B5-A0BF-4094-B5A0-489CABF1C26D}"/>
  <tableColumns count="3">
    <tableColumn id="1" xr3:uid="{1F465DCB-218D-48C2-A80B-1EE7B5258405}" name="INÍCIO SAQUINHO" dataDxfId="53"/>
    <tableColumn id="2" xr3:uid="{853AADDE-A947-47DE-B843-4EF84EF82DF6}" name="FINAL SAQUINHO " dataDxfId="52"/>
    <tableColumn id="3" xr3:uid="{7F162E84-A0DA-4CD1-8D85-53DE60FEF184}" name="TOTAL SAQUINHO(s)" dataDxfId="51">
      <calculatedColumnFormula>(F2-E2)</calculatedColumnFormula>
    </tableColumn>
  </tableColumns>
  <tableStyleInfo name="TableStyleLight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851CB71-D90A-433F-9CAD-7FD030E8CFA0}" name="Tabela1132026" displayName="Tabela1132026" ref="I1:K8" totalsRowShown="0">
  <autoFilter ref="I1:K8" xr:uid="{D851CB71-D90A-433F-9CAD-7FD030E8CFA0}"/>
  <tableColumns count="3">
    <tableColumn id="1" xr3:uid="{92D7978B-2BAD-4EBD-B4B9-18F6971633DF}" name="INÍCIO CAIXINHA" dataDxfId="50"/>
    <tableColumn id="2" xr3:uid="{9E8F9437-C681-47FF-B682-A311F30D4E6E}" name="FINAL CAIXINHA" dataDxfId="49"/>
    <tableColumn id="3" xr3:uid="{2F460D40-05E4-4871-A0F0-6ED50088124A}" name="TOTAL CAIXINHA(s)" dataDxfId="48">
      <calculatedColumnFormula>(J2-I2)</calculatedColumnFormula>
    </tableColumn>
  </tableColumns>
  <tableStyleInfo name="TableStyleLight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6A43975-21F3-4CAB-A8EE-12DA719223A2}" name="Tabela6152228" displayName="Tabela6152228" ref="A10:A11" totalsRowShown="0" headerRowDxfId="47" dataDxfId="46">
  <autoFilter ref="A10:A11" xr:uid="{06A43975-21F3-4CAB-A8EE-12DA719223A2}"/>
  <tableColumns count="1">
    <tableColumn id="1" xr3:uid="{66847744-9970-48DF-8396-CC7116BF91A2}" name="TEMPO TOTAL DE OPERAÇÃO(s)" dataDxfId="45">
      <calculatedColumnFormula>(C8+G8+K8+C11+C14)</calculatedColumnFormula>
    </tableColumn>
  </tableColumns>
  <tableStyleInfo name="TableStyleLight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0E6DC4C-C94E-40E7-BDD5-1434E520ADCA}" name="Tabela354855" displayName="Tabela354855" ref="C10:C11" totalsRowShown="0" headerRowDxfId="44" dataDxfId="43">
  <autoFilter ref="C10:C11" xr:uid="{40E6DC4C-C94E-40E7-BDD5-1434E520ADCA}"/>
  <tableColumns count="1">
    <tableColumn id="1" xr3:uid="{6FD36ADC-5822-4E8B-844B-2FE40174E94B}" name="CICLO MONTAGEM MASTER" dataDxfId="42">
      <calculatedColumnFormula>14.94/18</calculatedColumnFormula>
    </tableColumn>
  </tableColumns>
  <tableStyleInfo name="TableStyleLight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4864BE16-65FE-42C8-92A8-7FBD606756E5}" name="Tabela364958" displayName="Tabela364958" ref="C13:C14" totalsRowShown="0" headerRowDxfId="41" dataDxfId="40">
  <autoFilter ref="C13:C14" xr:uid="{4864BE16-65FE-42C8-92A8-7FBD606756E5}"/>
  <tableColumns count="1">
    <tableColumn id="1" xr3:uid="{60ABAC02-2A98-4A79-86CA-064695751CD5}" name="CICLO FINALIZAÇÃO MASTER" dataDxfId="39">
      <calculatedColumnFormula>22.22/18</calculatedColumnFormula>
    </tableColumn>
  </tableColumns>
  <tableStyleInfo name="TableStyleLight1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1496133-7F9C-44F8-B929-DE422EA86272}" name="Tabela512192532" displayName="Tabela512192532" ref="A1:C12" totalsRowShown="0">
  <autoFilter ref="A1:C12" xr:uid="{61496133-7F9C-44F8-B929-DE422EA86272}"/>
  <tableColumns count="3">
    <tableColumn id="1" xr3:uid="{7C8A9DA0-00ED-44BF-85F3-970DA921C414}" name="INÍCIO ETIQUETA" dataDxfId="38"/>
    <tableColumn id="2" xr3:uid="{4A861F91-46FF-461E-8D29-231F23B6A5E6}" name="FINAL ETIQUETA" dataDxfId="37"/>
    <tableColumn id="3" xr3:uid="{48F1E579-9DDA-4F38-959D-7994EF5B25F7}" name="TOTAL ETIQUETA(s)" dataDxfId="36">
      <calculatedColumnFormula>(B2-A2)</calculatedColumnFormula>
    </tableColumn>
  </tableColumns>
  <tableStyleInfo name="TableStyleLight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3239259-17C1-49A3-A043-4B74A9E7A483}" name="Tabela33" displayName="Tabela33" ref="A1:A4" totalsRowShown="0" headerRowDxfId="35" dataDxfId="34">
  <autoFilter ref="A1:A4" xr:uid="{73239259-17C1-49A3-A043-4B74A9E7A483}"/>
  <tableColumns count="1">
    <tableColumn id="1" xr3:uid="{18CC7F7F-8D39-489D-B500-1557DDB7DC2F}" name="MONTAGEM MASTER " dataDxfId="33"/>
  </tableColumns>
  <tableStyleInfo name="TableStyleLight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EFC3883-E340-4AE9-B723-10B47BA574D3}" name="Tabela34" displayName="Tabela34" ref="C1:C4" totalsRowShown="0" headerRowDxfId="32" dataDxfId="31">
  <autoFilter ref="C1:C4" xr:uid="{0EFC3883-E340-4AE9-B723-10B47BA574D3}"/>
  <tableColumns count="1">
    <tableColumn id="1" xr3:uid="{B7A31594-4C0B-4B1C-8C49-BCDC83BCB7CC}" name="FINALIZAÇÃO MASTER" dataDxfId="30"/>
  </tableColumns>
  <tableStyleInfo name="TableStyleLight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B92A010-E169-4C2F-B258-559B742D32F6}" name="Tabela35" displayName="Tabela35" ref="A6:A7" totalsRowShown="0" headerRowDxfId="29" dataDxfId="28">
  <autoFilter ref="A6:A7" xr:uid="{2B92A010-E169-4C2F-B258-559B742D32F6}"/>
  <tableColumns count="1">
    <tableColumn id="1" xr3:uid="{148D2693-A2E3-4676-A85B-E2957DCFDE6C}" name="CICLO MONTAGEM MASTER" dataDxfId="27">
      <calculatedColumnFormula>14.94/18</calculatedColumnFormula>
    </tableColumn>
  </tableColumns>
  <tableStyleInfo name="TableStyleLight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E8DA21A-4EEA-4AA7-9206-6AE025BB5305}" name="Tabela36" displayName="Tabela36" ref="C6:C7" totalsRowShown="0" headerRowDxfId="26" dataDxfId="25">
  <autoFilter ref="C6:C7" xr:uid="{9E8DA21A-4EEA-4AA7-9206-6AE025BB5305}"/>
  <tableColumns count="1">
    <tableColumn id="1" xr3:uid="{877DA27C-877B-4433-AFCB-F07C28A9B919}" name="CICLO FINALIZAÇÃO MASTER" dataDxfId="24">
      <calculatedColumnFormula>22.22/18</calculatedColumnFormula>
    </tableColumn>
  </tableColumns>
  <tableStyleInfo name="TableStyleLight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231CD554-179E-474C-97F9-EAB08116ACAB}" name="Tabela239" displayName="Tabela239" ref="E1:G2" totalsRowShown="0" dataDxfId="23">
  <autoFilter ref="E1:G2" xr:uid="{231CD554-179E-474C-97F9-EAB08116ACAB}"/>
  <tableColumns count="3">
    <tableColumn id="1" xr3:uid="{5391F502-CEC9-4E6A-9B8F-3E448E115115}" name="INÍCIO FINALIZAÇÃO MASTER" dataDxfId="22"/>
    <tableColumn id="2" xr3:uid="{AAB4D8B5-21C5-4C68-85D5-4E8176C30769}" name="FINAL FINALIZAÇÃO MASTER" dataDxfId="21"/>
    <tableColumn id="3" xr3:uid="{92CDB850-D827-4334-A73E-97AE14141973}" name="TOTAL MASTER(s)" dataDxfId="20">
      <calculatedColumnFormula>(F2-E2)</calculatedColumnFormula>
    </tableColumn>
  </tableColumns>
  <tableStyleInfo name="TableStyleLight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C3E53034-1A5C-4024-8350-5B49D45A48E0}" name="Tabela21044" displayName="Tabela21044" ref="E4:G5" totalsRowShown="0" dataDxfId="19">
  <autoFilter ref="E4:G5" xr:uid="{C3E53034-1A5C-4024-8350-5B49D45A48E0}"/>
  <tableColumns count="3">
    <tableColumn id="1" xr3:uid="{B549EC78-6F20-4431-BF2D-AE0148E261E5}" name="INÍCIO MONTAGEM MASTER" dataDxfId="18"/>
    <tableColumn id="2" xr3:uid="{A47BF1C4-6FCC-4309-AD58-D7C1ECC7C4DB}" name="FINAL MONTAGEM MASTER" dataDxfId="17"/>
    <tableColumn id="3" xr3:uid="{3F78CD1D-6A71-44EB-85ED-1B23EA25A95D}" name="TOTAL MASTER(s)" dataDxfId="16">
      <calculatedColumnFormula>(F5-E5)</calculatedColumnFormula>
    </tableColumn>
  </tableColumns>
  <tableStyleInfo name="TableStyleLight1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499E402-1425-4B3F-8186-99D59E408CE3}" name="Tabela2102145" displayName="Tabela2102145" ref="E7:G8" totalsRowShown="0" dataDxfId="15">
  <autoFilter ref="E7:G8" xr:uid="{9499E402-1425-4B3F-8186-99D59E408CE3}"/>
  <tableColumns count="3">
    <tableColumn id="1" xr3:uid="{624C32A7-6201-419D-8089-3315E699C859}" name="INÍCIO FINALIZAÇÃO MASTER" dataDxfId="14"/>
    <tableColumn id="2" xr3:uid="{17297F54-F9A0-4D58-8150-1452D5934D61}" name="FINAL FINALIZAÇÃO MASTER" dataDxfId="13"/>
    <tableColumn id="3" xr3:uid="{81447B83-6915-43CA-963C-E9510B20E265}" name="TOTAL MASTER(s)" dataDxfId="12">
      <calculatedColumnFormula>(F8-E8)</calculatedColumnFormula>
    </tableColumn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BFBACFA-558F-43E7-B32C-C56390548E3B}" name="Tabela210212746" displayName="Tabela210212746" ref="E10:G11" totalsRowShown="0" dataDxfId="11">
  <autoFilter ref="E10:G11" xr:uid="{6BFBACFA-558F-43E7-B32C-C56390548E3B}"/>
  <tableColumns count="3">
    <tableColumn id="1" xr3:uid="{19914A29-DD40-4049-BA6A-2D4C027FFBBF}" name="INÍCIO MONTAGEM MASTER" dataDxfId="10"/>
    <tableColumn id="2" xr3:uid="{A0F734C8-F2C4-48EC-B6B9-BBECED7896ED}" name="FINAL MONTAGEM MASTER" dataDxfId="9"/>
    <tableColumn id="3" xr3:uid="{36D77A14-3BC8-45E4-8F36-1F53C5FB3475}" name="TOTAL MASTER(s)" dataDxfId="8">
      <calculatedColumnFormula>(F11-E11)</calculatedColumnFormula>
    </tableColumn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2955C28-C192-4B6F-9350-6AD16F1CD213}" name="Tabela32" displayName="Tabela32" ref="A1:D2" totalsRowShown="0">
  <autoFilter ref="A1:D2" xr:uid="{22955C28-C192-4B6F-9350-6AD16F1CD213}"/>
  <tableColumns count="4">
    <tableColumn id="1" xr3:uid="{CA0CA126-1BFE-4A55-A9E9-750C26383FB2}" name="CENÁRIO 1 T. CICLO" dataDxfId="7"/>
    <tableColumn id="2" xr3:uid="{277A100B-39C4-4C01-B3EF-E2BF2CEFF56F}" name="CENÁRIO 3 T. CICLO" dataDxfId="6"/>
    <tableColumn id="3" xr3:uid="{B0F6525C-DA5F-40C9-8748-819EFF68F4DF}" name="CENÁRIO 4 T. CICLO" dataDxfId="5"/>
    <tableColumn id="4" xr3:uid="{9680923C-9810-4207-99AF-9DC5CC43D0E8}" name="CENÁRIO 5 T. CICLO" dataDxfId="4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99383EF-41C0-443A-BFA1-48FA7275E134}" name="Tabela3259" displayName="Tabela3259" ref="A4:D5" totalsRowShown="0">
  <autoFilter ref="A4:D5" xr:uid="{399383EF-41C0-443A-BFA1-48FA7275E134}"/>
  <tableColumns count="4">
    <tableColumn id="1" xr3:uid="{29172736-E804-4F07-AF7A-B4C5FC38D579}" name="CENÁRIO 1 ENTREGA HORA/PÇ" dataDxfId="3">
      <calculatedColumnFormula>3600/46.88</calculatedColumnFormula>
    </tableColumn>
    <tableColumn id="2" xr3:uid="{C2B17A30-21CD-4ED7-9BB6-00C3D38B0500}" name="CENÁRIO 3 ENTREGA HORA/PÇ" dataDxfId="2">
      <calculatedColumnFormula>3600/42.15</calculatedColumnFormula>
    </tableColumn>
    <tableColumn id="3" xr3:uid="{6C7F5BCE-3E80-4AF5-9C7A-C57912D37A80}" name="CENÁRIO 4 ENTREGA HORA/PÇ" dataDxfId="1">
      <calculatedColumnFormula>3600/36.16</calculatedColumnFormula>
    </tableColumn>
    <tableColumn id="4" xr3:uid="{5962F042-A7A9-40CA-8647-41516073E377}" name="CENÁRIO 5 ENTREGA HORA/PÇ" dataDxfId="0">
      <calculatedColumnFormula>3600/34.26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table" Target="../tables/table18.xml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69EB3-5E07-4BA2-9716-D3A564DC4590}">
  <dimension ref="A1:P23"/>
  <sheetViews>
    <sheetView workbookViewId="0">
      <selection activeCell="B29" sqref="B29"/>
    </sheetView>
  </sheetViews>
  <sheetFormatPr defaultRowHeight="15" x14ac:dyDescent="0.25"/>
  <cols>
    <col min="1" max="1" width="34.5703125" style="1" bestFit="1" customWidth="1"/>
    <col min="2" max="2" width="33.5703125" style="1" bestFit="1" customWidth="1"/>
    <col min="3" max="3" width="30.85546875" style="1" bestFit="1" customWidth="1"/>
    <col min="5" max="5" width="47" style="1" bestFit="1" customWidth="1"/>
    <col min="6" max="6" width="17.7109375" style="1" bestFit="1" customWidth="1"/>
    <col min="7" max="7" width="20.5703125" style="1" bestFit="1" customWidth="1"/>
    <col min="9" max="9" width="19.85546875" style="1" bestFit="1" customWidth="1"/>
    <col min="10" max="10" width="19.28515625" style="1" bestFit="1" customWidth="1"/>
    <col min="11" max="11" width="24.140625" style="1" bestFit="1" customWidth="1"/>
    <col min="13" max="13" width="19.42578125" style="1" bestFit="1" customWidth="1"/>
    <col min="14" max="14" width="18.5703125" style="1" bestFit="1" customWidth="1"/>
    <col min="15" max="15" width="21.42578125" style="1" bestFit="1" customWidth="1"/>
    <col min="16" max="16" width="9.140625" style="1" customWidth="1"/>
  </cols>
  <sheetData>
    <row r="1" spans="1:16" x14ac:dyDescent="0.25">
      <c r="A1" s="1" t="s">
        <v>4</v>
      </c>
      <c r="B1" s="1" t="s">
        <v>5</v>
      </c>
      <c r="C1" s="1" t="s">
        <v>7</v>
      </c>
      <c r="E1" s="1" t="s">
        <v>0</v>
      </c>
      <c r="F1" s="1" t="s">
        <v>1</v>
      </c>
      <c r="G1" s="1" t="s">
        <v>8</v>
      </c>
      <c r="I1" s="1" t="s">
        <v>2</v>
      </c>
      <c r="J1" s="1" t="s">
        <v>3</v>
      </c>
      <c r="K1" s="1" t="s">
        <v>9</v>
      </c>
      <c r="M1" s="1" t="s">
        <v>17</v>
      </c>
      <c r="N1" s="1" t="s">
        <v>18</v>
      </c>
      <c r="O1" s="1" t="s">
        <v>19</v>
      </c>
    </row>
    <row r="2" spans="1:16" x14ac:dyDescent="0.25">
      <c r="A2" s="1">
        <v>14.7</v>
      </c>
      <c r="B2" s="1">
        <v>25.51</v>
      </c>
      <c r="C2" s="1">
        <f t="shared" ref="C2:C14" si="0">(B2-A2)</f>
        <v>10.810000000000002</v>
      </c>
      <c r="E2" s="1">
        <v>176.63</v>
      </c>
      <c r="F2" s="1">
        <v>182.28</v>
      </c>
      <c r="G2" s="1">
        <f t="shared" ref="G2:G14" si="1">(F2-E2)</f>
        <v>5.6500000000000057</v>
      </c>
      <c r="I2" s="1">
        <v>277.63</v>
      </c>
      <c r="J2" s="1">
        <v>287.24</v>
      </c>
      <c r="K2" s="1">
        <f t="shared" ref="K2:K14" si="2">(J2-I2)</f>
        <v>9.6100000000000136</v>
      </c>
      <c r="M2" s="1">
        <v>449.1</v>
      </c>
      <c r="N2" s="1">
        <v>456.21</v>
      </c>
      <c r="O2" s="1">
        <f t="shared" ref="O2:O14" si="3">(N2-M2)</f>
        <v>7.1099999999999568</v>
      </c>
    </row>
    <row r="3" spans="1:16" x14ac:dyDescent="0.25">
      <c r="A3" s="1">
        <v>25.51</v>
      </c>
      <c r="B3" s="1">
        <v>36.74</v>
      </c>
      <c r="C3" s="1">
        <f t="shared" si="0"/>
        <v>11.23</v>
      </c>
      <c r="E3" s="1">
        <v>182.28</v>
      </c>
      <c r="F3" s="1">
        <v>192.88</v>
      </c>
      <c r="G3" s="1">
        <f t="shared" si="1"/>
        <v>10.599999999999994</v>
      </c>
      <c r="I3" s="1">
        <v>287.24</v>
      </c>
      <c r="J3" s="1">
        <v>294.77999999999997</v>
      </c>
      <c r="K3" s="1">
        <f t="shared" si="2"/>
        <v>7.5399999999999636</v>
      </c>
      <c r="M3" s="1">
        <v>456.21</v>
      </c>
      <c r="N3" s="1">
        <v>464.23</v>
      </c>
      <c r="O3" s="1">
        <f t="shared" si="3"/>
        <v>8.0200000000000387</v>
      </c>
    </row>
    <row r="4" spans="1:16" x14ac:dyDescent="0.25">
      <c r="A4" s="1">
        <v>36.74</v>
      </c>
      <c r="B4" s="1">
        <v>47.62</v>
      </c>
      <c r="C4" s="1">
        <f t="shared" si="0"/>
        <v>10.879999999999995</v>
      </c>
      <c r="E4" s="1">
        <v>192.88</v>
      </c>
      <c r="F4" s="1">
        <v>198.34</v>
      </c>
      <c r="G4" s="1">
        <f t="shared" si="1"/>
        <v>5.460000000000008</v>
      </c>
      <c r="I4" s="1">
        <v>294.77999999999997</v>
      </c>
      <c r="J4" s="1">
        <v>302.06</v>
      </c>
      <c r="K4" s="1">
        <f t="shared" si="2"/>
        <v>7.2800000000000296</v>
      </c>
      <c r="M4" s="1">
        <v>464.23</v>
      </c>
      <c r="N4" s="1">
        <v>471.13</v>
      </c>
      <c r="O4" s="1">
        <f t="shared" si="3"/>
        <v>6.8999999999999773</v>
      </c>
    </row>
    <row r="5" spans="1:16" x14ac:dyDescent="0.25">
      <c r="A5" s="1">
        <v>47.62</v>
      </c>
      <c r="B5" s="1">
        <v>58.02</v>
      </c>
      <c r="C5" s="1">
        <f t="shared" si="0"/>
        <v>10.400000000000006</v>
      </c>
      <c r="E5" s="1">
        <v>198.34</v>
      </c>
      <c r="F5" s="1">
        <v>204.84</v>
      </c>
      <c r="G5" s="1">
        <f t="shared" si="1"/>
        <v>6.5</v>
      </c>
      <c r="I5" s="1">
        <v>302.06</v>
      </c>
      <c r="J5" s="1">
        <v>311.02999999999997</v>
      </c>
      <c r="K5" s="1">
        <f t="shared" si="2"/>
        <v>8.9699999999999704</v>
      </c>
      <c r="M5" s="1">
        <v>471.13</v>
      </c>
      <c r="N5" s="1">
        <v>478.5</v>
      </c>
      <c r="O5" s="1">
        <f t="shared" si="3"/>
        <v>7.3700000000000045</v>
      </c>
    </row>
    <row r="6" spans="1:16" x14ac:dyDescent="0.25">
      <c r="A6" s="1">
        <v>58.02</v>
      </c>
      <c r="B6" s="1">
        <v>69.569999999999993</v>
      </c>
      <c r="C6" s="1">
        <f t="shared" si="0"/>
        <v>11.54999999999999</v>
      </c>
      <c r="E6" s="1">
        <v>204.84</v>
      </c>
      <c r="F6" s="1">
        <v>212.18</v>
      </c>
      <c r="G6" s="1">
        <f t="shared" si="1"/>
        <v>7.3400000000000034</v>
      </c>
      <c r="I6" s="1">
        <v>311.02999999999997</v>
      </c>
      <c r="J6" s="1">
        <v>318.06</v>
      </c>
      <c r="K6" s="1">
        <f t="shared" si="2"/>
        <v>7.0300000000000296</v>
      </c>
      <c r="M6" s="1">
        <v>478.5</v>
      </c>
      <c r="N6" s="1">
        <v>486.01</v>
      </c>
      <c r="O6" s="1">
        <f t="shared" si="3"/>
        <v>7.5099999999999909</v>
      </c>
    </row>
    <row r="7" spans="1:16" x14ac:dyDescent="0.25">
      <c r="A7" s="1">
        <v>69.569999999999993</v>
      </c>
      <c r="B7" s="1">
        <v>79.64</v>
      </c>
      <c r="C7" s="1">
        <f t="shared" si="0"/>
        <v>10.070000000000007</v>
      </c>
      <c r="E7" s="1">
        <v>212.18</v>
      </c>
      <c r="F7" s="1">
        <v>217.92</v>
      </c>
      <c r="G7" s="1">
        <f t="shared" si="1"/>
        <v>5.7399999999999807</v>
      </c>
      <c r="I7" s="1">
        <v>318.06</v>
      </c>
      <c r="J7" s="1">
        <v>325.25</v>
      </c>
      <c r="K7" s="1">
        <f t="shared" si="2"/>
        <v>7.1899999999999977</v>
      </c>
      <c r="M7" s="1">
        <v>486.01</v>
      </c>
      <c r="N7" s="1">
        <v>493.91</v>
      </c>
      <c r="O7" s="1">
        <f t="shared" si="3"/>
        <v>7.9000000000000341</v>
      </c>
    </row>
    <row r="8" spans="1:16" x14ac:dyDescent="0.25">
      <c r="A8" s="1">
        <v>79.64</v>
      </c>
      <c r="B8" s="1">
        <v>93.22</v>
      </c>
      <c r="C8" s="1">
        <f t="shared" si="0"/>
        <v>13.579999999999998</v>
      </c>
      <c r="E8" s="1">
        <v>217.92</v>
      </c>
      <c r="F8" s="1">
        <v>222.7</v>
      </c>
      <c r="G8" s="1">
        <f t="shared" si="1"/>
        <v>4.7800000000000011</v>
      </c>
      <c r="I8" s="1">
        <v>325.25</v>
      </c>
      <c r="J8" s="1">
        <v>331.63</v>
      </c>
      <c r="K8" s="1">
        <f t="shared" si="2"/>
        <v>6.3799999999999955</v>
      </c>
      <c r="M8" s="1">
        <v>493.91</v>
      </c>
      <c r="N8" s="1">
        <v>501.52</v>
      </c>
      <c r="O8" s="1">
        <f t="shared" si="3"/>
        <v>7.6099999999999568</v>
      </c>
    </row>
    <row r="9" spans="1:16" x14ac:dyDescent="0.25">
      <c r="A9" s="1">
        <v>93.22</v>
      </c>
      <c r="B9" s="1">
        <v>104.28</v>
      </c>
      <c r="C9" s="1">
        <f t="shared" si="0"/>
        <v>11.060000000000002</v>
      </c>
      <c r="E9" s="1">
        <v>222.7</v>
      </c>
      <c r="F9" s="1">
        <v>227.59</v>
      </c>
      <c r="G9" s="1">
        <f t="shared" si="1"/>
        <v>4.8900000000000148</v>
      </c>
      <c r="I9" s="1">
        <v>331.63</v>
      </c>
      <c r="J9" s="1">
        <v>339.7</v>
      </c>
      <c r="K9" s="1">
        <f t="shared" si="2"/>
        <v>8.0699999999999932</v>
      </c>
      <c r="M9" s="1">
        <v>501.52</v>
      </c>
      <c r="N9" s="1">
        <v>508.88</v>
      </c>
      <c r="O9" s="1">
        <f t="shared" si="3"/>
        <v>7.3600000000000136</v>
      </c>
    </row>
    <row r="10" spans="1:16" x14ac:dyDescent="0.25">
      <c r="A10" s="1">
        <v>104.28</v>
      </c>
      <c r="B10" s="1">
        <v>114.28</v>
      </c>
      <c r="C10" s="1">
        <f t="shared" si="0"/>
        <v>10</v>
      </c>
      <c r="E10" s="1">
        <v>227.59</v>
      </c>
      <c r="F10" s="1">
        <v>231.72</v>
      </c>
      <c r="G10" s="1">
        <f t="shared" si="1"/>
        <v>4.1299999999999955</v>
      </c>
      <c r="I10" s="1">
        <v>339.7</v>
      </c>
      <c r="J10" s="1">
        <v>345.73</v>
      </c>
      <c r="K10" s="1">
        <f t="shared" si="2"/>
        <v>6.0300000000000296</v>
      </c>
      <c r="M10" s="1">
        <v>508.88</v>
      </c>
      <c r="N10" s="1">
        <v>516.25</v>
      </c>
      <c r="O10" s="1">
        <f t="shared" si="3"/>
        <v>7.3700000000000045</v>
      </c>
    </row>
    <row r="11" spans="1:16" x14ac:dyDescent="0.25">
      <c r="A11" s="1">
        <v>114.28</v>
      </c>
      <c r="B11" s="1">
        <v>125.23</v>
      </c>
      <c r="C11" s="1">
        <f t="shared" si="0"/>
        <v>10.950000000000003</v>
      </c>
      <c r="E11" s="1">
        <v>231.72</v>
      </c>
      <c r="F11" s="1">
        <v>235.44</v>
      </c>
      <c r="G11" s="1">
        <f t="shared" si="1"/>
        <v>3.7199999999999989</v>
      </c>
      <c r="I11" s="1">
        <v>345.73</v>
      </c>
      <c r="J11" s="1">
        <v>351.62</v>
      </c>
      <c r="K11" s="1">
        <f t="shared" si="2"/>
        <v>5.8899999999999864</v>
      </c>
      <c r="M11" s="1">
        <v>516.25</v>
      </c>
      <c r="N11" s="1">
        <v>524.51</v>
      </c>
      <c r="O11" s="1">
        <f t="shared" si="3"/>
        <v>8.2599999999999909</v>
      </c>
    </row>
    <row r="12" spans="1:16" x14ac:dyDescent="0.25">
      <c r="A12" s="1">
        <v>125.23</v>
      </c>
      <c r="B12" s="1">
        <v>135.75</v>
      </c>
      <c r="C12" s="1">
        <f t="shared" si="0"/>
        <v>10.519999999999996</v>
      </c>
      <c r="E12" s="1">
        <v>235.44</v>
      </c>
      <c r="F12" s="1">
        <v>240.18</v>
      </c>
      <c r="G12" s="1">
        <f t="shared" si="1"/>
        <v>4.7400000000000091</v>
      </c>
      <c r="I12" s="1">
        <v>351.62</v>
      </c>
      <c r="J12" s="1">
        <v>360.8</v>
      </c>
      <c r="K12" s="1">
        <f t="shared" si="2"/>
        <v>9.1800000000000068</v>
      </c>
      <c r="M12" s="1">
        <v>524.51</v>
      </c>
      <c r="N12" s="1">
        <v>532.45000000000005</v>
      </c>
      <c r="O12" s="1">
        <f t="shared" si="3"/>
        <v>7.9400000000000546</v>
      </c>
    </row>
    <row r="13" spans="1:16" x14ac:dyDescent="0.25">
      <c r="A13" s="1">
        <v>135.75</v>
      </c>
      <c r="B13" s="1">
        <v>146.4</v>
      </c>
      <c r="C13" s="1">
        <f t="shared" si="0"/>
        <v>10.650000000000006</v>
      </c>
      <c r="E13" s="1">
        <v>240.18</v>
      </c>
      <c r="F13" s="1">
        <v>246.72</v>
      </c>
      <c r="G13" s="1">
        <f t="shared" si="1"/>
        <v>6.539999999999992</v>
      </c>
      <c r="I13" s="1">
        <v>369.26</v>
      </c>
      <c r="J13" s="1">
        <v>377.01</v>
      </c>
      <c r="K13" s="1">
        <f t="shared" si="2"/>
        <v>7.75</v>
      </c>
      <c r="M13" s="1">
        <v>532.45000000000005</v>
      </c>
      <c r="N13" s="1">
        <v>541.32000000000005</v>
      </c>
      <c r="O13" s="1">
        <f t="shared" si="3"/>
        <v>8.8700000000000045</v>
      </c>
    </row>
    <row r="14" spans="1:16" x14ac:dyDescent="0.25">
      <c r="A14" s="1">
        <v>146.4</v>
      </c>
      <c r="B14" s="1">
        <v>157.11000000000001</v>
      </c>
      <c r="C14" s="1">
        <f t="shared" si="0"/>
        <v>10.710000000000008</v>
      </c>
      <c r="E14" s="1">
        <v>246.72</v>
      </c>
      <c r="F14" s="1">
        <v>250.82</v>
      </c>
      <c r="G14" s="1">
        <f t="shared" si="1"/>
        <v>4.0999999999999943</v>
      </c>
      <c r="I14" s="1">
        <v>377.01</v>
      </c>
      <c r="J14" s="1">
        <v>385.06</v>
      </c>
      <c r="K14" s="1">
        <f t="shared" si="2"/>
        <v>8.0500000000000114</v>
      </c>
      <c r="M14" s="1">
        <v>541.32000000000005</v>
      </c>
      <c r="N14" s="1">
        <v>549.41</v>
      </c>
      <c r="O14" s="1">
        <f t="shared" si="3"/>
        <v>8.0899999999999181</v>
      </c>
    </row>
    <row r="15" spans="1:16" x14ac:dyDescent="0.25">
      <c r="A15" s="4"/>
      <c r="B15" s="3"/>
      <c r="C15" s="2">
        <f>AVERAGE(C2:C14)</f>
        <v>10.954615384615384</v>
      </c>
      <c r="E15" s="4"/>
      <c r="F15" s="4"/>
      <c r="G15" s="2">
        <f>AVERAGE(G2:G14)</f>
        <v>5.7069230769230765</v>
      </c>
      <c r="I15" s="4"/>
      <c r="J15" s="4"/>
      <c r="K15" s="2">
        <f>AVERAGE(K2:K14)</f>
        <v>7.6130769230769255</v>
      </c>
      <c r="M15" s="4"/>
      <c r="N15" s="4"/>
      <c r="O15" s="2">
        <f>AVERAGE(O2:O14)</f>
        <v>7.7161538461538424</v>
      </c>
      <c r="P15" s="2"/>
    </row>
    <row r="17" spans="1:16" x14ac:dyDescent="0.25">
      <c r="A17"/>
      <c r="D17" s="1"/>
      <c r="E17" s="1" t="s">
        <v>6</v>
      </c>
      <c r="F17"/>
      <c r="H17" s="1"/>
      <c r="K17"/>
      <c r="M17"/>
      <c r="N17"/>
      <c r="O17"/>
      <c r="P17"/>
    </row>
    <row r="18" spans="1:16" x14ac:dyDescent="0.25">
      <c r="A18"/>
      <c r="D18" s="1"/>
      <c r="E18" s="2">
        <f>(C15+G15+K15+O15+A20+A23+C20+C23)</f>
        <v>46.875213675213665</v>
      </c>
      <c r="F18"/>
      <c r="H18" s="1"/>
      <c r="K18"/>
      <c r="M18"/>
      <c r="N18"/>
      <c r="O18"/>
      <c r="P18"/>
    </row>
    <row r="19" spans="1:16" x14ac:dyDescent="0.25">
      <c r="A19" s="1" t="s">
        <v>26</v>
      </c>
      <c r="C19" s="1" t="s">
        <v>29</v>
      </c>
      <c r="G19"/>
      <c r="H19" s="1"/>
      <c r="K19"/>
      <c r="L19" s="1"/>
      <c r="P19"/>
    </row>
    <row r="20" spans="1:16" x14ac:dyDescent="0.25">
      <c r="A20" s="1">
        <v>4.5999999999999996</v>
      </c>
      <c r="C20" s="1">
        <f>14.94/18</f>
        <v>0.83</v>
      </c>
      <c r="G20"/>
      <c r="H20" s="1"/>
      <c r="K20"/>
      <c r="L20" s="1"/>
      <c r="P20"/>
    </row>
    <row r="22" spans="1:16" x14ac:dyDescent="0.25">
      <c r="A22" s="1" t="s">
        <v>27</v>
      </c>
      <c r="C22" s="1" t="s">
        <v>28</v>
      </c>
    </row>
    <row r="23" spans="1:16" x14ac:dyDescent="0.25">
      <c r="A23" s="1">
        <v>8.2200000000000006</v>
      </c>
      <c r="C23" s="2">
        <f>22.22/18</f>
        <v>1.2344444444444445</v>
      </c>
    </row>
  </sheetData>
  <pageMargins left="0.511811024" right="0.511811024" top="0.78740157499999996" bottom="0.78740157499999996" header="0.31496062000000002" footer="0.31496062000000002"/>
  <ignoredErrors>
    <ignoredError sqref="C15 G15 K15 O15" calculatedColumn="1"/>
  </ignoredErrors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3D02-270D-4E83-9A5C-92EE9D479A2F}">
  <dimension ref="A1:S11"/>
  <sheetViews>
    <sheetView workbookViewId="0">
      <selection activeCell="E12" sqref="E12"/>
    </sheetView>
  </sheetViews>
  <sheetFormatPr defaultRowHeight="15" x14ac:dyDescent="0.25"/>
  <cols>
    <col min="1" max="1" width="30.85546875" style="1" bestFit="1" customWidth="1"/>
    <col min="2" max="2" width="17.7109375" style="1" bestFit="1" customWidth="1"/>
    <col min="3" max="3" width="32" style="1" bestFit="1" customWidth="1"/>
    <col min="5" max="5" width="47" bestFit="1" customWidth="1"/>
    <col min="6" max="6" width="33.5703125" bestFit="1" customWidth="1"/>
    <col min="7" max="7" width="20.42578125" bestFit="1" customWidth="1"/>
    <col min="9" max="9" width="18.5703125" bestFit="1" customWidth="1"/>
    <col min="10" max="10" width="17.7109375" bestFit="1" customWidth="1"/>
    <col min="11" max="11" width="20.5703125" bestFit="1" customWidth="1"/>
    <col min="13" max="13" width="22.140625" bestFit="1" customWidth="1"/>
    <col min="14" max="14" width="21.5703125" bestFit="1" customWidth="1"/>
    <col min="15" max="15" width="24.140625" bestFit="1" customWidth="1"/>
    <col min="17" max="17" width="19.42578125" bestFit="1" customWidth="1"/>
    <col min="18" max="18" width="18.5703125" bestFit="1" customWidth="1"/>
    <col min="19" max="19" width="21.42578125" bestFit="1" customWidth="1"/>
  </cols>
  <sheetData>
    <row r="1" spans="1:19" x14ac:dyDescent="0.25">
      <c r="A1" s="1" t="s">
        <v>11</v>
      </c>
      <c r="B1" s="1" t="s">
        <v>12</v>
      </c>
      <c r="C1" s="1" t="s">
        <v>13</v>
      </c>
      <c r="E1" s="1" t="s">
        <v>4</v>
      </c>
      <c r="F1" s="1" t="s">
        <v>5</v>
      </c>
      <c r="G1" s="1" t="s">
        <v>7</v>
      </c>
      <c r="I1" s="1" t="s">
        <v>0</v>
      </c>
      <c r="J1" s="1" t="s">
        <v>1</v>
      </c>
      <c r="K1" s="1" t="s">
        <v>8</v>
      </c>
      <c r="M1" s="1" t="s">
        <v>2</v>
      </c>
      <c r="N1" s="1" t="s">
        <v>3</v>
      </c>
      <c r="O1" s="1" t="s">
        <v>9</v>
      </c>
      <c r="Q1" s="1" t="s">
        <v>17</v>
      </c>
      <c r="R1" s="1" t="s">
        <v>18</v>
      </c>
      <c r="S1" s="1" t="s">
        <v>19</v>
      </c>
    </row>
    <row r="2" spans="1:19" x14ac:dyDescent="0.25">
      <c r="A2" s="1">
        <v>20.23</v>
      </c>
      <c r="B2" s="1">
        <v>25.45</v>
      </c>
      <c r="C2" s="1">
        <f t="shared" ref="C2:C7" si="0">(B2-A2)</f>
        <v>5.2199999999999989</v>
      </c>
      <c r="E2" s="1">
        <v>25.45</v>
      </c>
      <c r="F2" s="1">
        <v>27.73</v>
      </c>
      <c r="G2" s="1">
        <f t="shared" ref="G2:G7" si="1">(F2-E2)</f>
        <v>2.2800000000000011</v>
      </c>
      <c r="I2" s="1">
        <v>27.73</v>
      </c>
      <c r="J2" s="1">
        <v>32.01</v>
      </c>
      <c r="K2" s="1">
        <f t="shared" ref="K2:K7" si="2">(J2-I2)</f>
        <v>4.2799999999999976</v>
      </c>
      <c r="M2" s="1">
        <v>32.01</v>
      </c>
      <c r="N2" s="1">
        <v>41.37</v>
      </c>
      <c r="O2" s="1">
        <f t="shared" ref="O2:O7" si="3">(N2-M2)</f>
        <v>9.36</v>
      </c>
      <c r="Q2" s="1">
        <v>41.37</v>
      </c>
      <c r="R2" s="1">
        <v>63.15</v>
      </c>
      <c r="S2" s="1">
        <f t="shared" ref="S2:S7" si="4">(R2-Q2)</f>
        <v>21.78</v>
      </c>
    </row>
    <row r="3" spans="1:19" x14ac:dyDescent="0.25">
      <c r="A3" s="1">
        <v>66.709999999999994</v>
      </c>
      <c r="B3" s="1">
        <v>75.23</v>
      </c>
      <c r="C3" s="1">
        <f t="shared" si="0"/>
        <v>8.5200000000000102</v>
      </c>
      <c r="E3" s="1">
        <v>75.23</v>
      </c>
      <c r="F3" s="1">
        <v>78.38</v>
      </c>
      <c r="G3" s="1">
        <f t="shared" si="1"/>
        <v>3.1499999999999915</v>
      </c>
      <c r="I3" s="1">
        <v>78.38</v>
      </c>
      <c r="J3" s="1">
        <v>83.26</v>
      </c>
      <c r="K3" s="1">
        <f t="shared" si="2"/>
        <v>4.8800000000000097</v>
      </c>
      <c r="M3" s="1">
        <v>83.26</v>
      </c>
      <c r="N3" s="1">
        <v>92.47</v>
      </c>
      <c r="O3" s="1">
        <f t="shared" si="3"/>
        <v>9.2099999999999937</v>
      </c>
      <c r="Q3" s="1">
        <v>92.47</v>
      </c>
      <c r="R3" s="1">
        <v>107.82</v>
      </c>
      <c r="S3" s="1">
        <f t="shared" si="4"/>
        <v>15.349999999999994</v>
      </c>
    </row>
    <row r="4" spans="1:19" x14ac:dyDescent="0.25">
      <c r="A4" s="1">
        <v>110.84</v>
      </c>
      <c r="B4" s="1">
        <v>120.19</v>
      </c>
      <c r="C4" s="1">
        <f t="shared" si="0"/>
        <v>9.3499999999999943</v>
      </c>
      <c r="E4" s="1">
        <v>120.19</v>
      </c>
      <c r="F4" s="1">
        <v>122.92</v>
      </c>
      <c r="G4" s="1">
        <f t="shared" si="1"/>
        <v>2.730000000000004</v>
      </c>
      <c r="I4" s="1">
        <v>122.92</v>
      </c>
      <c r="J4" s="1">
        <v>127.45</v>
      </c>
      <c r="K4" s="1">
        <f t="shared" si="2"/>
        <v>4.5300000000000011</v>
      </c>
      <c r="M4" s="1">
        <v>127.45</v>
      </c>
      <c r="N4" s="1">
        <v>135.27000000000001</v>
      </c>
      <c r="O4" s="1">
        <f t="shared" si="3"/>
        <v>7.8200000000000074</v>
      </c>
      <c r="Q4" s="1">
        <v>135.27000000000001</v>
      </c>
      <c r="R4" s="1">
        <v>149.36000000000001</v>
      </c>
      <c r="S4" s="1">
        <f t="shared" si="4"/>
        <v>14.090000000000003</v>
      </c>
    </row>
    <row r="5" spans="1:19" x14ac:dyDescent="0.25">
      <c r="A5" s="1">
        <v>153.30000000000001</v>
      </c>
      <c r="B5" s="1">
        <v>161.91</v>
      </c>
      <c r="C5" s="1">
        <f t="shared" si="0"/>
        <v>8.6099999999999852</v>
      </c>
      <c r="E5" s="1">
        <v>161.91</v>
      </c>
      <c r="F5" s="1">
        <v>164.21</v>
      </c>
      <c r="G5" s="1">
        <f t="shared" si="1"/>
        <v>2.3000000000000114</v>
      </c>
      <c r="I5" s="1">
        <v>164.21</v>
      </c>
      <c r="J5" s="1">
        <v>169.79</v>
      </c>
      <c r="K5" s="1">
        <f t="shared" si="2"/>
        <v>5.5799999999999841</v>
      </c>
      <c r="M5" s="1">
        <v>169.79</v>
      </c>
      <c r="N5" s="1">
        <v>177.15</v>
      </c>
      <c r="O5" s="1">
        <f t="shared" si="3"/>
        <v>7.3600000000000136</v>
      </c>
      <c r="Q5" s="1">
        <v>177.15</v>
      </c>
      <c r="R5" s="1">
        <v>193.02</v>
      </c>
      <c r="S5" s="1">
        <f t="shared" si="4"/>
        <v>15.870000000000005</v>
      </c>
    </row>
    <row r="6" spans="1:19" x14ac:dyDescent="0.25">
      <c r="A6" s="1">
        <v>196.67</v>
      </c>
      <c r="B6" s="1">
        <v>204.73</v>
      </c>
      <c r="C6" s="1">
        <f t="shared" si="0"/>
        <v>8.0600000000000023</v>
      </c>
      <c r="E6" s="1">
        <v>204.73</v>
      </c>
      <c r="F6" s="1">
        <v>207.7</v>
      </c>
      <c r="G6" s="1">
        <f t="shared" si="1"/>
        <v>2.9699999999999989</v>
      </c>
      <c r="I6" s="1">
        <v>207.7</v>
      </c>
      <c r="J6" s="1">
        <v>213.54</v>
      </c>
      <c r="K6" s="1">
        <f t="shared" si="2"/>
        <v>5.8400000000000034</v>
      </c>
      <c r="M6" s="1">
        <v>213.54</v>
      </c>
      <c r="N6" s="1">
        <v>222.8</v>
      </c>
      <c r="O6" s="1">
        <f t="shared" si="3"/>
        <v>9.2600000000000193</v>
      </c>
      <c r="Q6" s="1">
        <v>222.8</v>
      </c>
      <c r="R6" s="1">
        <v>237.57</v>
      </c>
      <c r="S6" s="1">
        <f t="shared" si="4"/>
        <v>14.769999999999982</v>
      </c>
    </row>
    <row r="7" spans="1:19" x14ac:dyDescent="0.25">
      <c r="A7" s="1">
        <v>239.49</v>
      </c>
      <c r="B7" s="1">
        <v>249.04</v>
      </c>
      <c r="C7" s="1">
        <f t="shared" si="0"/>
        <v>9.5499999999999829</v>
      </c>
      <c r="E7" s="1">
        <v>249.04</v>
      </c>
      <c r="F7" s="1">
        <v>251.85</v>
      </c>
      <c r="G7" s="1">
        <f t="shared" si="1"/>
        <v>2.8100000000000023</v>
      </c>
      <c r="I7" s="1">
        <v>251.85</v>
      </c>
      <c r="J7" s="1">
        <v>255.87</v>
      </c>
      <c r="K7" s="1">
        <f t="shared" si="2"/>
        <v>4.0200000000000102</v>
      </c>
      <c r="M7" s="1">
        <v>255.87</v>
      </c>
      <c r="N7" s="1">
        <v>263.88</v>
      </c>
      <c r="O7" s="1">
        <f t="shared" si="3"/>
        <v>8.0099999999999909</v>
      </c>
      <c r="Q7" s="1">
        <v>263.88</v>
      </c>
      <c r="R7" s="1">
        <v>276.83</v>
      </c>
      <c r="S7" s="1">
        <f t="shared" si="4"/>
        <v>12.949999999999989</v>
      </c>
    </row>
    <row r="8" spans="1:19" x14ac:dyDescent="0.25">
      <c r="A8" s="4"/>
      <c r="B8" s="4"/>
      <c r="C8" s="2">
        <f>AVERAGE(C2:C7)</f>
        <v>8.2183333333333284</v>
      </c>
      <c r="E8" s="4"/>
      <c r="F8" s="3"/>
      <c r="G8" s="2">
        <f>AVERAGE(G2:G7)</f>
        <v>2.7066666666666683</v>
      </c>
      <c r="I8" s="4"/>
      <c r="J8" s="4"/>
      <c r="K8" s="2">
        <f>AVERAGE(K2:K7)</f>
        <v>4.8550000000000013</v>
      </c>
      <c r="M8" s="4"/>
      <c r="N8" s="4"/>
      <c r="O8" s="2">
        <f>AVERAGE(O2:O7)</f>
        <v>8.5033333333333374</v>
      </c>
      <c r="Q8" s="4"/>
      <c r="R8" s="4"/>
      <c r="S8" s="2">
        <f>AVERAGE(S2:S7)</f>
        <v>15.801666666666662</v>
      </c>
    </row>
    <row r="10" spans="1:19" x14ac:dyDescent="0.25">
      <c r="A10" s="1" t="s">
        <v>29</v>
      </c>
      <c r="C10" s="1" t="s">
        <v>28</v>
      </c>
      <c r="E10" s="1" t="s">
        <v>6</v>
      </c>
    </row>
    <row r="11" spans="1:19" x14ac:dyDescent="0.25">
      <c r="A11" s="1">
        <f>14.94/18</f>
        <v>0.83</v>
      </c>
      <c r="C11" s="2">
        <f>22.22/18</f>
        <v>1.2344444444444445</v>
      </c>
      <c r="E11" s="2">
        <f>(C8+G8+K8+O8+S8+A11+C11)</f>
        <v>42.149444444444434</v>
      </c>
    </row>
  </sheetData>
  <pageMargins left="0.511811024" right="0.511811024" top="0.78740157499999996" bottom="0.78740157499999996" header="0.31496062000000002" footer="0.31496062000000002"/>
  <ignoredErrors>
    <ignoredError sqref="C8 G8 K8 O8 S8" calculatedColumn="1"/>
  </ignoredErrors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1FC8-BF0A-44DB-8A3D-C502B0B02AC9}">
  <dimension ref="A1:O15"/>
  <sheetViews>
    <sheetView workbookViewId="0">
      <selection activeCell="E17" sqref="E17"/>
    </sheetView>
  </sheetViews>
  <sheetFormatPr defaultRowHeight="15" x14ac:dyDescent="0.25"/>
  <cols>
    <col min="1" max="1" width="30.85546875" bestFit="1" customWidth="1"/>
    <col min="2" max="2" width="17.7109375" bestFit="1" customWidth="1"/>
    <col min="3" max="3" width="32" bestFit="1" customWidth="1"/>
    <col min="5" max="5" width="47" bestFit="1" customWidth="1"/>
    <col min="6" max="6" width="33.5703125" bestFit="1" customWidth="1"/>
    <col min="7" max="7" width="20.42578125" bestFit="1" customWidth="1"/>
    <col min="9" max="9" width="22.140625" bestFit="1" customWidth="1"/>
    <col min="10" max="10" width="21.5703125" bestFit="1" customWidth="1"/>
    <col min="11" max="11" width="24.140625" bestFit="1" customWidth="1"/>
    <col min="12" max="12" width="9.140625" customWidth="1"/>
    <col min="13" max="13" width="19.42578125" bestFit="1" customWidth="1"/>
    <col min="14" max="14" width="18.5703125" bestFit="1" customWidth="1"/>
    <col min="15" max="15" width="21.42578125" bestFit="1" customWidth="1"/>
  </cols>
  <sheetData>
    <row r="1" spans="1:15" x14ac:dyDescent="0.25">
      <c r="A1" s="1" t="s">
        <v>11</v>
      </c>
      <c r="B1" s="1" t="s">
        <v>12</v>
      </c>
      <c r="C1" s="1" t="s">
        <v>13</v>
      </c>
      <c r="E1" s="1" t="s">
        <v>4</v>
      </c>
      <c r="F1" s="1" t="s">
        <v>5</v>
      </c>
      <c r="G1" s="1" t="s">
        <v>7</v>
      </c>
      <c r="I1" s="1" t="s">
        <v>2</v>
      </c>
      <c r="J1" s="1" t="s">
        <v>3</v>
      </c>
      <c r="K1" s="1" t="s">
        <v>9</v>
      </c>
      <c r="L1" s="1"/>
      <c r="M1" s="1" t="s">
        <v>17</v>
      </c>
      <c r="N1" s="1" t="s">
        <v>18</v>
      </c>
      <c r="O1" s="1" t="s">
        <v>19</v>
      </c>
    </row>
    <row r="2" spans="1:15" x14ac:dyDescent="0.25">
      <c r="A2" s="1">
        <v>0</v>
      </c>
      <c r="B2" s="1">
        <v>11.29</v>
      </c>
      <c r="C2" s="1">
        <f t="shared" ref="C2:C8" si="0">(B2-A2)</f>
        <v>11.29</v>
      </c>
      <c r="E2" s="1">
        <v>11.29</v>
      </c>
      <c r="F2" s="1">
        <v>14.06</v>
      </c>
      <c r="G2" s="1">
        <f t="shared" ref="G2:G8" si="1">(F2-E2)</f>
        <v>2.7700000000000014</v>
      </c>
      <c r="I2" s="1">
        <v>14.06</v>
      </c>
      <c r="J2" s="1">
        <v>23.87</v>
      </c>
      <c r="K2" s="1">
        <f t="shared" ref="K2:K8" si="2">(J2-I2)</f>
        <v>9.81</v>
      </c>
      <c r="L2" s="1"/>
      <c r="M2" s="1">
        <v>23.87</v>
      </c>
      <c r="N2" s="1">
        <v>37.869999999999997</v>
      </c>
      <c r="O2" s="1">
        <f t="shared" ref="O2:O8" si="3">(N2-M2)</f>
        <v>13.999999999999996</v>
      </c>
    </row>
    <row r="3" spans="1:15" x14ac:dyDescent="0.25">
      <c r="A3" s="1">
        <v>39.78</v>
      </c>
      <c r="B3" s="1">
        <v>47.83</v>
      </c>
      <c r="C3" s="1">
        <f t="shared" si="0"/>
        <v>8.0499999999999972</v>
      </c>
      <c r="E3" s="1">
        <v>47.83</v>
      </c>
      <c r="F3" s="1">
        <v>49.93</v>
      </c>
      <c r="G3" s="1">
        <f t="shared" si="1"/>
        <v>2.1000000000000014</v>
      </c>
      <c r="I3" s="1">
        <v>49.93</v>
      </c>
      <c r="J3" s="1">
        <v>61.7</v>
      </c>
      <c r="K3" s="1">
        <f t="shared" si="2"/>
        <v>11.770000000000003</v>
      </c>
      <c r="L3" s="1"/>
      <c r="M3" s="1">
        <v>61.7</v>
      </c>
      <c r="N3" s="1">
        <v>74.45</v>
      </c>
      <c r="O3" s="1">
        <f t="shared" si="3"/>
        <v>12.75</v>
      </c>
    </row>
    <row r="4" spans="1:15" x14ac:dyDescent="0.25">
      <c r="A4" s="1">
        <v>76.55</v>
      </c>
      <c r="B4" s="1">
        <v>86.42</v>
      </c>
      <c r="C4" s="1">
        <f t="shared" si="0"/>
        <v>9.8700000000000045</v>
      </c>
      <c r="E4" s="1">
        <v>86.42</v>
      </c>
      <c r="F4" s="1">
        <v>88.88</v>
      </c>
      <c r="G4" s="1">
        <f t="shared" si="1"/>
        <v>2.4599999999999937</v>
      </c>
      <c r="I4" s="1">
        <v>88.88</v>
      </c>
      <c r="J4" s="1">
        <v>99.19</v>
      </c>
      <c r="K4" s="1">
        <f t="shared" si="2"/>
        <v>10.310000000000002</v>
      </c>
      <c r="L4" s="1"/>
      <c r="M4" s="1">
        <v>99.19</v>
      </c>
      <c r="N4" s="1">
        <v>112.27</v>
      </c>
      <c r="O4" s="1">
        <f t="shared" si="3"/>
        <v>13.079999999999998</v>
      </c>
    </row>
    <row r="5" spans="1:15" x14ac:dyDescent="0.25">
      <c r="A5" s="1">
        <v>114.51</v>
      </c>
      <c r="B5" s="1">
        <v>122.18</v>
      </c>
      <c r="C5" s="1">
        <f t="shared" si="0"/>
        <v>7.6700000000000017</v>
      </c>
      <c r="E5" s="1">
        <v>122.18</v>
      </c>
      <c r="F5" s="1">
        <v>124.48</v>
      </c>
      <c r="G5" s="1">
        <f t="shared" si="1"/>
        <v>2.2999999999999972</v>
      </c>
      <c r="I5" s="1">
        <v>124.48</v>
      </c>
      <c r="J5" s="1">
        <v>134.1</v>
      </c>
      <c r="K5" s="1">
        <f t="shared" si="2"/>
        <v>9.6199999999999903</v>
      </c>
      <c r="L5" s="1"/>
      <c r="M5" s="1">
        <v>134.1</v>
      </c>
      <c r="N5" s="1">
        <v>146.86000000000001</v>
      </c>
      <c r="O5" s="1">
        <f t="shared" si="3"/>
        <v>12.760000000000019</v>
      </c>
    </row>
    <row r="6" spans="1:15" x14ac:dyDescent="0.25">
      <c r="A6" s="1">
        <v>148.75</v>
      </c>
      <c r="B6" s="1">
        <v>158.13</v>
      </c>
      <c r="C6" s="1">
        <f>(B6-A6)</f>
        <v>9.3799999999999955</v>
      </c>
      <c r="E6" s="1">
        <v>158.13</v>
      </c>
      <c r="F6" s="1">
        <v>160.71</v>
      </c>
      <c r="G6" s="1">
        <f>(F6-E6)</f>
        <v>2.5800000000000125</v>
      </c>
      <c r="I6" s="1">
        <v>160.71</v>
      </c>
      <c r="J6" s="1">
        <v>172.92</v>
      </c>
      <c r="K6" s="1">
        <f>(J6-I6)</f>
        <v>12.20999999999998</v>
      </c>
      <c r="L6" s="1"/>
      <c r="M6" s="1">
        <v>172.92</v>
      </c>
      <c r="N6" s="1">
        <v>187.11</v>
      </c>
      <c r="O6" s="1">
        <f>(N6-M6)</f>
        <v>14.190000000000026</v>
      </c>
    </row>
    <row r="7" spans="1:15" x14ac:dyDescent="0.25">
      <c r="A7" s="1">
        <v>190.62</v>
      </c>
      <c r="B7" s="1">
        <v>198.6</v>
      </c>
      <c r="C7" s="1">
        <f>(B7-A7)</f>
        <v>7.9799999999999898</v>
      </c>
      <c r="E7" s="1">
        <v>198.6</v>
      </c>
      <c r="F7" s="1">
        <v>200.82</v>
      </c>
      <c r="G7" s="1">
        <f>(F7-E7)</f>
        <v>2.2199999999999989</v>
      </c>
      <c r="I7" s="1">
        <v>200.82</v>
      </c>
      <c r="J7" s="1">
        <v>209.47</v>
      </c>
      <c r="K7" s="1">
        <f>(J7-I7)</f>
        <v>8.6500000000000057</v>
      </c>
      <c r="L7" s="1"/>
      <c r="M7" s="1">
        <v>209.47</v>
      </c>
      <c r="N7" s="1">
        <v>222.56</v>
      </c>
      <c r="O7" s="1">
        <f>(N7-M7)</f>
        <v>13.090000000000003</v>
      </c>
    </row>
    <row r="8" spans="1:15" x14ac:dyDescent="0.25">
      <c r="A8" s="1">
        <v>225.52</v>
      </c>
      <c r="B8" s="1">
        <v>234.6</v>
      </c>
      <c r="C8" s="1">
        <f t="shared" si="0"/>
        <v>9.0799999999999841</v>
      </c>
      <c r="E8" s="1">
        <v>234.6</v>
      </c>
      <c r="F8" s="1">
        <v>236.98</v>
      </c>
      <c r="G8" s="1">
        <f t="shared" si="1"/>
        <v>2.3799999999999955</v>
      </c>
      <c r="I8" s="1">
        <v>236.98</v>
      </c>
      <c r="J8" s="1">
        <v>246.97</v>
      </c>
      <c r="K8" s="1">
        <f t="shared" si="2"/>
        <v>9.9900000000000091</v>
      </c>
      <c r="L8" s="2"/>
      <c r="M8" s="1">
        <v>246.97</v>
      </c>
      <c r="N8" s="1">
        <v>258.97000000000003</v>
      </c>
      <c r="O8" s="1">
        <f t="shared" si="3"/>
        <v>12.000000000000028</v>
      </c>
    </row>
    <row r="9" spans="1:15" x14ac:dyDescent="0.25">
      <c r="A9" s="1">
        <v>261.83</v>
      </c>
      <c r="B9" s="1">
        <v>270.25</v>
      </c>
      <c r="C9" s="1">
        <f>(B9-A9)</f>
        <v>8.4200000000000159</v>
      </c>
      <c r="E9" s="1">
        <v>270.25</v>
      </c>
      <c r="F9" s="1">
        <v>272.79000000000002</v>
      </c>
      <c r="G9" s="1">
        <f>(F9-E9)</f>
        <v>2.5400000000000205</v>
      </c>
      <c r="I9" s="1">
        <v>272.79000000000002</v>
      </c>
      <c r="J9" s="1">
        <v>281.02</v>
      </c>
      <c r="K9" s="1">
        <f>(J9-I9)</f>
        <v>8.2299999999999613</v>
      </c>
      <c r="M9" s="1">
        <v>281.02</v>
      </c>
      <c r="N9" s="1">
        <v>293.63</v>
      </c>
      <c r="O9" s="1">
        <f>(N9-M9)</f>
        <v>12.610000000000014</v>
      </c>
    </row>
    <row r="10" spans="1:15" x14ac:dyDescent="0.25">
      <c r="A10" s="1">
        <v>296.68</v>
      </c>
      <c r="B10" s="1">
        <v>307.2</v>
      </c>
      <c r="C10" s="1">
        <f>(B10-A10)</f>
        <v>10.519999999999982</v>
      </c>
      <c r="E10" s="1">
        <v>307.2</v>
      </c>
      <c r="F10" s="1">
        <v>309.45</v>
      </c>
      <c r="G10" s="1">
        <f>(F10-E10)</f>
        <v>2.25</v>
      </c>
      <c r="I10" s="1">
        <v>309.45</v>
      </c>
      <c r="J10" s="1">
        <v>318.02</v>
      </c>
      <c r="K10" s="1">
        <f>(J10-I10)</f>
        <v>8.5699999999999932</v>
      </c>
      <c r="M10" s="1">
        <v>318.02</v>
      </c>
      <c r="N10" s="1">
        <v>331.69</v>
      </c>
      <c r="O10" s="1">
        <f>(N10-M10)</f>
        <v>13.670000000000016</v>
      </c>
    </row>
    <row r="11" spans="1:15" x14ac:dyDescent="0.25">
      <c r="A11" s="1">
        <v>335.77</v>
      </c>
      <c r="B11" s="1">
        <v>342.67</v>
      </c>
      <c r="C11" s="1">
        <f>(B11-A11)</f>
        <v>6.9000000000000341</v>
      </c>
      <c r="E11" s="1">
        <v>342.67</v>
      </c>
      <c r="F11" s="1">
        <v>345.64</v>
      </c>
      <c r="G11" s="1">
        <f>(F11-E11)</f>
        <v>2.9699999999999704</v>
      </c>
      <c r="I11" s="1">
        <v>345.64</v>
      </c>
      <c r="J11" s="1">
        <v>354.27</v>
      </c>
      <c r="K11" s="1">
        <f>(J11-I11)</f>
        <v>8.6299999999999955</v>
      </c>
      <c r="M11" s="1">
        <v>354.27</v>
      </c>
      <c r="N11" s="1">
        <v>365.53</v>
      </c>
      <c r="O11" s="1">
        <f>(N11-M11)</f>
        <v>11.259999999999991</v>
      </c>
    </row>
    <row r="12" spans="1:15" x14ac:dyDescent="0.25">
      <c r="A12" s="4"/>
      <c r="B12" s="4"/>
      <c r="C12" s="2">
        <f>AVERAGE(C2:C11)</f>
        <v>8.9160000000000004</v>
      </c>
      <c r="E12" s="4"/>
      <c r="F12" s="3"/>
      <c r="G12" s="2">
        <f>AVERAGE(G2:G11)</f>
        <v>2.4569999999999994</v>
      </c>
      <c r="I12" s="4"/>
      <c r="J12" s="4"/>
      <c r="K12" s="2">
        <f>AVERAGE(K2:K11)</f>
        <v>9.7789999999999928</v>
      </c>
      <c r="M12" s="4"/>
      <c r="N12" s="4"/>
      <c r="O12" s="2">
        <f>AVERAGE(O2:O11)</f>
        <v>12.941000000000008</v>
      </c>
    </row>
    <row r="14" spans="1:15" x14ac:dyDescent="0.25">
      <c r="A14" s="1" t="s">
        <v>29</v>
      </c>
      <c r="C14" s="1" t="s">
        <v>28</v>
      </c>
      <c r="E14" s="1" t="s">
        <v>6</v>
      </c>
    </row>
    <row r="15" spans="1:15" x14ac:dyDescent="0.25">
      <c r="A15" s="1">
        <f>14.94/18</f>
        <v>0.83</v>
      </c>
      <c r="C15" s="2">
        <f>22.22/18</f>
        <v>1.2344444444444445</v>
      </c>
      <c r="E15" s="2">
        <f>(C12+G12+K12+O12+S12+A15+C15)</f>
        <v>36.157444444444444</v>
      </c>
    </row>
  </sheetData>
  <pageMargins left="0.511811024" right="0.511811024" top="0.78740157499999996" bottom="0.78740157499999996" header="0.31496062000000002" footer="0.31496062000000002"/>
  <ignoredErrors>
    <ignoredError sqref="C12 G12 K12 O12" calculatedColumn="1"/>
  </ignoredErrors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151CA-13FD-4471-84E6-7ECC9A30191D}">
  <dimension ref="A1:K14"/>
  <sheetViews>
    <sheetView tabSelected="1" workbookViewId="0">
      <selection activeCell="B16" sqref="B16"/>
    </sheetView>
  </sheetViews>
  <sheetFormatPr defaultRowHeight="15" x14ac:dyDescent="0.25"/>
  <cols>
    <col min="1" max="1" width="47" bestFit="1" customWidth="1"/>
    <col min="2" max="2" width="33.5703125" bestFit="1" customWidth="1"/>
    <col min="3" max="3" width="30.85546875" bestFit="1" customWidth="1"/>
    <col min="5" max="5" width="22.140625" bestFit="1" customWidth="1"/>
    <col min="6" max="6" width="21.5703125" bestFit="1" customWidth="1"/>
    <col min="7" max="7" width="24.140625" bestFit="1" customWidth="1"/>
    <col min="9" max="9" width="19.42578125" bestFit="1" customWidth="1"/>
    <col min="10" max="10" width="18.5703125" bestFit="1" customWidth="1"/>
    <col min="11" max="11" width="21.42578125" bestFit="1" customWidth="1"/>
  </cols>
  <sheetData>
    <row r="1" spans="1:11" x14ac:dyDescent="0.25">
      <c r="A1" s="1" t="s">
        <v>4</v>
      </c>
      <c r="B1" s="1" t="s">
        <v>5</v>
      </c>
      <c r="C1" s="1" t="s">
        <v>7</v>
      </c>
      <c r="E1" s="1" t="s">
        <v>2</v>
      </c>
      <c r="F1" s="1" t="s">
        <v>3</v>
      </c>
      <c r="G1" s="1" t="s">
        <v>9</v>
      </c>
      <c r="I1" s="1" t="s">
        <v>17</v>
      </c>
      <c r="J1" s="1" t="s">
        <v>18</v>
      </c>
      <c r="K1" s="1" t="s">
        <v>19</v>
      </c>
    </row>
    <row r="2" spans="1:11" x14ac:dyDescent="0.25">
      <c r="A2" s="1">
        <v>18.37</v>
      </c>
      <c r="B2" s="1">
        <v>27.36</v>
      </c>
      <c r="C2" s="1">
        <f t="shared" ref="C2:C5" si="0">(B2-A2)</f>
        <v>8.9899999999999984</v>
      </c>
      <c r="E2" s="1">
        <v>27.36</v>
      </c>
      <c r="F2" s="1">
        <v>36.64</v>
      </c>
      <c r="G2" s="1">
        <f t="shared" ref="G2:G5" si="1">(F2-E2)</f>
        <v>9.2800000000000011</v>
      </c>
      <c r="I2" s="1">
        <v>36.64</v>
      </c>
      <c r="J2" s="1">
        <v>48</v>
      </c>
      <c r="K2" s="1">
        <f t="shared" ref="K2:K5" si="2">(J2-I2)</f>
        <v>11.36</v>
      </c>
    </row>
    <row r="3" spans="1:11" x14ac:dyDescent="0.25">
      <c r="A3" s="1">
        <v>52.63</v>
      </c>
      <c r="B3" s="1">
        <v>61.48</v>
      </c>
      <c r="C3" s="1">
        <f t="shared" si="0"/>
        <v>8.8499999999999943</v>
      </c>
      <c r="E3" s="1">
        <v>61.48</v>
      </c>
      <c r="F3" s="1">
        <v>71.66</v>
      </c>
      <c r="G3" s="1">
        <f t="shared" si="1"/>
        <v>10.18</v>
      </c>
      <c r="I3" s="1">
        <v>71.66</v>
      </c>
      <c r="J3" s="1">
        <v>84.69</v>
      </c>
      <c r="K3" s="1">
        <f t="shared" si="2"/>
        <v>13.030000000000001</v>
      </c>
    </row>
    <row r="4" spans="1:11" x14ac:dyDescent="0.25">
      <c r="A4" s="1">
        <v>86.64</v>
      </c>
      <c r="B4" s="1">
        <v>95.32</v>
      </c>
      <c r="C4" s="1">
        <f t="shared" si="0"/>
        <v>8.6799999999999926</v>
      </c>
      <c r="E4" s="1">
        <v>95.32</v>
      </c>
      <c r="F4" s="1">
        <v>105.95</v>
      </c>
      <c r="G4" s="1">
        <f t="shared" si="1"/>
        <v>10.63000000000001</v>
      </c>
      <c r="I4" s="1">
        <v>105.95</v>
      </c>
      <c r="J4" s="1">
        <v>117.06</v>
      </c>
      <c r="K4" s="1">
        <f t="shared" si="2"/>
        <v>11.11</v>
      </c>
    </row>
    <row r="5" spans="1:11" x14ac:dyDescent="0.25">
      <c r="A5" s="1">
        <v>120.34</v>
      </c>
      <c r="B5" s="1">
        <v>131.57</v>
      </c>
      <c r="C5" s="1">
        <f t="shared" si="0"/>
        <v>11.22999999999999</v>
      </c>
      <c r="E5" s="1">
        <v>131.57</v>
      </c>
      <c r="F5" s="1">
        <v>142.6</v>
      </c>
      <c r="G5" s="1">
        <f t="shared" si="1"/>
        <v>11.030000000000001</v>
      </c>
      <c r="I5" s="1">
        <v>142.6</v>
      </c>
      <c r="J5" s="1">
        <v>152.38999999999999</v>
      </c>
      <c r="K5" s="1">
        <f t="shared" si="2"/>
        <v>9.789999999999992</v>
      </c>
    </row>
    <row r="6" spans="1:11" x14ac:dyDescent="0.25">
      <c r="A6" s="1">
        <v>155.41999999999999</v>
      </c>
      <c r="B6" s="1">
        <v>165.4</v>
      </c>
      <c r="C6" s="1">
        <f>(B6-A6)</f>
        <v>9.9800000000000182</v>
      </c>
      <c r="E6" s="1">
        <v>165.4</v>
      </c>
      <c r="F6" s="1">
        <v>173.79</v>
      </c>
      <c r="G6" s="1">
        <f>(F6-E6)</f>
        <v>8.3899999999999864</v>
      </c>
      <c r="I6" s="1">
        <v>173.79</v>
      </c>
      <c r="J6" s="1">
        <v>188.13</v>
      </c>
      <c r="K6" s="1">
        <f>(J6-I6)</f>
        <v>14.340000000000003</v>
      </c>
    </row>
    <row r="7" spans="1:11" x14ac:dyDescent="0.25">
      <c r="A7" s="1">
        <v>191.78</v>
      </c>
      <c r="B7" s="1">
        <v>202.57</v>
      </c>
      <c r="C7" s="1">
        <f>(B7-A7)</f>
        <v>10.789999999999992</v>
      </c>
      <c r="E7" s="1">
        <v>202.57</v>
      </c>
      <c r="F7" s="1">
        <v>214.39</v>
      </c>
      <c r="G7" s="1">
        <f>(F7-E7)</f>
        <v>11.819999999999993</v>
      </c>
      <c r="I7" s="1">
        <v>214.39</v>
      </c>
      <c r="J7" s="1">
        <v>228.08</v>
      </c>
      <c r="K7" s="1">
        <f>(J7-I7)</f>
        <v>13.690000000000026</v>
      </c>
    </row>
    <row r="8" spans="1:11" x14ac:dyDescent="0.25">
      <c r="A8" s="4"/>
      <c r="B8" s="3"/>
      <c r="C8" s="2">
        <f>AVERAGE(C2:C7)</f>
        <v>9.7533333333333303</v>
      </c>
      <c r="E8" s="4"/>
      <c r="F8" s="4"/>
      <c r="G8" s="2">
        <f>AVERAGE(G2:G7)</f>
        <v>10.221666666666666</v>
      </c>
      <c r="I8" s="4"/>
      <c r="J8" s="4"/>
      <c r="K8" s="2">
        <f>AVERAGE(K2:K7)</f>
        <v>12.220000000000004</v>
      </c>
    </row>
    <row r="9" spans="1:11" x14ac:dyDescent="0.25">
      <c r="A9" s="1"/>
      <c r="B9" s="1"/>
      <c r="C9" s="1"/>
    </row>
    <row r="10" spans="1:11" x14ac:dyDescent="0.25">
      <c r="A10" s="1" t="s">
        <v>6</v>
      </c>
      <c r="C10" s="1" t="s">
        <v>29</v>
      </c>
    </row>
    <row r="11" spans="1:11" x14ac:dyDescent="0.25">
      <c r="A11" s="2">
        <f>(C8+G8+K8+C11+C14)</f>
        <v>34.259444444444441</v>
      </c>
      <c r="C11" s="1">
        <f>14.94/18</f>
        <v>0.83</v>
      </c>
    </row>
    <row r="13" spans="1:11" x14ac:dyDescent="0.25">
      <c r="C13" s="1" t="s">
        <v>28</v>
      </c>
    </row>
    <row r="14" spans="1:11" x14ac:dyDescent="0.25">
      <c r="C14" s="2">
        <f>22.22/18</f>
        <v>1.2344444444444445</v>
      </c>
    </row>
  </sheetData>
  <pageMargins left="0.511811024" right="0.511811024" top="0.78740157499999996" bottom="0.78740157499999996" header="0.31496062000000002" footer="0.31496062000000002"/>
  <ignoredErrors>
    <ignoredError sqref="G8 C8" calculatedColumn="1"/>
  </ignoredErrors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3874-1481-4BAD-93E3-CE538F29F34F}">
  <dimension ref="A1:C12"/>
  <sheetViews>
    <sheetView workbookViewId="0">
      <selection activeCell="H9" sqref="H9"/>
    </sheetView>
  </sheetViews>
  <sheetFormatPr defaultRowHeight="15" x14ac:dyDescent="0.25"/>
  <cols>
    <col min="1" max="1" width="22.140625" bestFit="1" customWidth="1"/>
    <col min="2" max="2" width="21.5703125" bestFit="1" customWidth="1"/>
    <col min="3" max="3" width="24.140625" bestFit="1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s="1">
        <v>299.81</v>
      </c>
      <c r="B2" s="1">
        <v>306.44</v>
      </c>
      <c r="C2" s="1">
        <f t="shared" ref="C2:C5" si="0">(B2-A2)</f>
        <v>6.6299999999999955</v>
      </c>
    </row>
    <row r="3" spans="1:3" x14ac:dyDescent="0.25">
      <c r="A3" s="1">
        <v>335.27</v>
      </c>
      <c r="B3" s="1">
        <v>339.57</v>
      </c>
      <c r="C3" s="1">
        <f t="shared" si="0"/>
        <v>4.3000000000000114</v>
      </c>
    </row>
    <row r="4" spans="1:3" x14ac:dyDescent="0.25">
      <c r="A4" s="1">
        <v>368.06</v>
      </c>
      <c r="B4" s="1">
        <v>372.27</v>
      </c>
      <c r="C4" s="1">
        <f t="shared" si="0"/>
        <v>4.2099999999999795</v>
      </c>
    </row>
    <row r="5" spans="1:3" x14ac:dyDescent="0.25">
      <c r="A5" s="1">
        <v>404.13</v>
      </c>
      <c r="B5" s="1">
        <v>407.95</v>
      </c>
      <c r="C5" s="1">
        <f t="shared" si="0"/>
        <v>3.8199999999999932</v>
      </c>
    </row>
    <row r="6" spans="1:3" x14ac:dyDescent="0.25">
      <c r="A6" s="1">
        <v>438.88</v>
      </c>
      <c r="B6" s="1">
        <v>442.43</v>
      </c>
      <c r="C6" s="1">
        <f t="shared" ref="C6:C11" si="1">(B6-A6)</f>
        <v>3.5500000000000114</v>
      </c>
    </row>
    <row r="7" spans="1:3" x14ac:dyDescent="0.25">
      <c r="A7" s="1">
        <v>474.31</v>
      </c>
      <c r="B7" s="1">
        <v>478.46</v>
      </c>
      <c r="C7" s="1">
        <f t="shared" si="1"/>
        <v>4.1499999999999773</v>
      </c>
    </row>
    <row r="8" spans="1:3" x14ac:dyDescent="0.25">
      <c r="A8" s="1">
        <v>510.21</v>
      </c>
      <c r="B8" s="1">
        <v>514.76</v>
      </c>
      <c r="C8" s="1">
        <f t="shared" si="1"/>
        <v>4.5500000000000114</v>
      </c>
    </row>
    <row r="9" spans="1:3" x14ac:dyDescent="0.25">
      <c r="A9" s="1">
        <v>545.49</v>
      </c>
      <c r="B9" s="1">
        <v>548.63</v>
      </c>
      <c r="C9" s="1">
        <f t="shared" si="1"/>
        <v>3.1399999999999864</v>
      </c>
    </row>
    <row r="10" spans="1:3" x14ac:dyDescent="0.25">
      <c r="A10" s="1">
        <v>579.48</v>
      </c>
      <c r="B10" s="1">
        <v>585.42999999999995</v>
      </c>
      <c r="C10" s="1">
        <f t="shared" si="1"/>
        <v>5.9499999999999318</v>
      </c>
    </row>
    <row r="11" spans="1:3" x14ac:dyDescent="0.25">
      <c r="A11" s="1">
        <v>619.29</v>
      </c>
      <c r="B11" s="1">
        <v>625.03</v>
      </c>
      <c r="C11" s="1">
        <f t="shared" si="1"/>
        <v>5.7400000000000091</v>
      </c>
    </row>
    <row r="12" spans="1:3" x14ac:dyDescent="0.25">
      <c r="A12" s="4"/>
      <c r="B12" s="4"/>
      <c r="C12" s="2">
        <f>AVERAGE(C2:C11)</f>
        <v>4.6039999999999903</v>
      </c>
    </row>
  </sheetData>
  <pageMargins left="0.511811024" right="0.511811024" top="0.78740157499999996" bottom="0.78740157499999996" header="0.31496062000000002" footer="0.31496062000000002"/>
  <ignoredErrors>
    <ignoredError sqref="C12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D6B3-805B-43D2-9A94-A94CFF4C6E31}">
  <dimension ref="A1:G11"/>
  <sheetViews>
    <sheetView workbookViewId="0">
      <selection activeCell="C7" sqref="C7"/>
    </sheetView>
  </sheetViews>
  <sheetFormatPr defaultRowHeight="15" x14ac:dyDescent="0.25"/>
  <cols>
    <col min="1" max="1" width="30.85546875" style="1" bestFit="1" customWidth="1"/>
    <col min="3" max="3" width="32" style="1" bestFit="1" customWidth="1"/>
    <col min="5" max="5" width="32.140625" bestFit="1" customWidth="1"/>
    <col min="6" max="6" width="31.28515625" bestFit="1" customWidth="1"/>
    <col min="7" max="7" width="21.42578125" bestFit="1" customWidth="1"/>
  </cols>
  <sheetData>
    <row r="1" spans="1:7" x14ac:dyDescent="0.25">
      <c r="A1" s="1" t="s">
        <v>24</v>
      </c>
      <c r="C1" s="1" t="s">
        <v>25</v>
      </c>
      <c r="E1" s="1" t="s">
        <v>20</v>
      </c>
      <c r="F1" s="1" t="s">
        <v>21</v>
      </c>
      <c r="G1" s="1" t="s">
        <v>10</v>
      </c>
    </row>
    <row r="2" spans="1:7" x14ac:dyDescent="0.25">
      <c r="A2" s="1">
        <v>14.91</v>
      </c>
      <c r="C2" s="1">
        <v>23.6</v>
      </c>
      <c r="E2" s="1">
        <v>549.41</v>
      </c>
      <c r="F2" s="1">
        <v>573.01</v>
      </c>
      <c r="G2" s="1">
        <f>(F2-E2)</f>
        <v>23.600000000000023</v>
      </c>
    </row>
    <row r="3" spans="1:7" x14ac:dyDescent="0.25">
      <c r="A3" s="1">
        <v>14.96</v>
      </c>
      <c r="C3" s="1">
        <v>20.83</v>
      </c>
    </row>
    <row r="4" spans="1:7" x14ac:dyDescent="0.25">
      <c r="A4" s="2">
        <f>AVERAGE(A2:A3)</f>
        <v>14.935</v>
      </c>
      <c r="C4" s="2">
        <f>AVERAGE(C2:C3)</f>
        <v>22.215</v>
      </c>
      <c r="E4" s="1" t="s">
        <v>22</v>
      </c>
      <c r="F4" s="1" t="s">
        <v>23</v>
      </c>
      <c r="G4" s="1" t="s">
        <v>10</v>
      </c>
    </row>
    <row r="5" spans="1:7" x14ac:dyDescent="0.25">
      <c r="E5" s="1">
        <v>0</v>
      </c>
      <c r="F5" s="1">
        <v>14.91</v>
      </c>
      <c r="G5" s="1">
        <f>(F5-E5)</f>
        <v>14.91</v>
      </c>
    </row>
    <row r="6" spans="1:7" x14ac:dyDescent="0.25">
      <c r="A6" s="1" t="s">
        <v>29</v>
      </c>
      <c r="C6" s="1" t="s">
        <v>28</v>
      </c>
    </row>
    <row r="7" spans="1:7" x14ac:dyDescent="0.25">
      <c r="A7" s="1">
        <f>14.94/18</f>
        <v>0.83</v>
      </c>
      <c r="C7" s="2">
        <f>22.22/18</f>
        <v>1.2344444444444445</v>
      </c>
      <c r="E7" s="1" t="s">
        <v>20</v>
      </c>
      <c r="F7" s="1" t="s">
        <v>21</v>
      </c>
      <c r="G7" s="1" t="s">
        <v>10</v>
      </c>
    </row>
    <row r="8" spans="1:7" x14ac:dyDescent="0.25">
      <c r="E8" s="1">
        <v>370.59</v>
      </c>
      <c r="F8" s="1">
        <v>391.42</v>
      </c>
      <c r="G8" s="1">
        <f>(F8-E8)</f>
        <v>20.830000000000041</v>
      </c>
    </row>
    <row r="10" spans="1:7" x14ac:dyDescent="0.25">
      <c r="E10" s="1" t="s">
        <v>22</v>
      </c>
      <c r="F10" s="1" t="s">
        <v>23</v>
      </c>
      <c r="G10" s="1" t="s">
        <v>10</v>
      </c>
    </row>
    <row r="11" spans="1:7" x14ac:dyDescent="0.25">
      <c r="E11" s="1">
        <v>0</v>
      </c>
      <c r="F11" s="1">
        <v>14.96</v>
      </c>
      <c r="G11" s="1">
        <f>(F11-E11)</f>
        <v>14.96</v>
      </c>
    </row>
  </sheetData>
  <pageMargins left="0.511811024" right="0.511811024" top="0.78740157499999996" bottom="0.78740157499999996" header="0.31496062000000002" footer="0.31496062000000002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046F0-5ABD-449E-8DBA-C018A5A59BBA}">
  <dimension ref="A1:D18"/>
  <sheetViews>
    <sheetView workbookViewId="0">
      <selection activeCell="B15" sqref="B15"/>
    </sheetView>
  </sheetViews>
  <sheetFormatPr defaultRowHeight="15" x14ac:dyDescent="0.25"/>
  <cols>
    <col min="1" max="4" width="34" style="1" bestFit="1" customWidth="1"/>
  </cols>
  <sheetData>
    <row r="1" spans="1:4" x14ac:dyDescent="0.25">
      <c r="A1" s="1" t="s">
        <v>30</v>
      </c>
      <c r="B1" s="1" t="s">
        <v>31</v>
      </c>
      <c r="C1" s="1" t="s">
        <v>32</v>
      </c>
      <c r="D1" s="1" t="s">
        <v>33</v>
      </c>
    </row>
    <row r="2" spans="1:4" x14ac:dyDescent="0.25">
      <c r="A2" s="1">
        <v>46.88</v>
      </c>
      <c r="B2" s="1">
        <v>42.15</v>
      </c>
      <c r="C2" s="1">
        <v>36.159999999999997</v>
      </c>
      <c r="D2" s="1">
        <v>34.26</v>
      </c>
    </row>
    <row r="4" spans="1:4" x14ac:dyDescent="0.25">
      <c r="A4" s="1" t="s">
        <v>34</v>
      </c>
      <c r="B4" s="1" t="s">
        <v>35</v>
      </c>
      <c r="C4" s="1" t="s">
        <v>36</v>
      </c>
      <c r="D4" s="1" t="s">
        <v>37</v>
      </c>
    </row>
    <row r="5" spans="1:4" x14ac:dyDescent="0.25">
      <c r="A5" s="5">
        <f>3600/46.88</f>
        <v>76.791808873720129</v>
      </c>
      <c r="B5" s="5">
        <f>3600/42.15</f>
        <v>85.409252669039148</v>
      </c>
      <c r="C5" s="5">
        <f>3600/36.16</f>
        <v>99.557522123893818</v>
      </c>
      <c r="D5" s="5">
        <f>3600/34.26</f>
        <v>105.07880910683014</v>
      </c>
    </row>
    <row r="7" spans="1:4" x14ac:dyDescent="0.25">
      <c r="D7" s="1">
        <f>34.26-4.6-0.83</f>
        <v>28.83</v>
      </c>
    </row>
    <row r="8" spans="1:4" x14ac:dyDescent="0.25">
      <c r="D8" s="1">
        <f>34.26-4.6-2.06</f>
        <v>27.599999999999998</v>
      </c>
    </row>
    <row r="9" spans="1:4" x14ac:dyDescent="0.25">
      <c r="D9" s="1">
        <f>27.6+4.86</f>
        <v>32.46</v>
      </c>
    </row>
    <row r="11" spans="1:4" x14ac:dyDescent="0.25">
      <c r="A11" s="1" t="s">
        <v>39</v>
      </c>
      <c r="D11" s="6"/>
    </row>
    <row r="12" spans="1:4" x14ac:dyDescent="0.25">
      <c r="A12" s="1">
        <f>MIN(Tabela32[])</f>
        <v>34.26</v>
      </c>
      <c r="B12" s="6"/>
    </row>
    <row r="13" spans="1:4" x14ac:dyDescent="0.25">
      <c r="B13" s="6"/>
    </row>
    <row r="14" spans="1:4" x14ac:dyDescent="0.25">
      <c r="A14" s="1" t="s">
        <v>40</v>
      </c>
      <c r="B14" s="6"/>
    </row>
    <row r="15" spans="1:4" x14ac:dyDescent="0.25">
      <c r="A15" s="1">
        <f>(3600*21)/2400</f>
        <v>31.5</v>
      </c>
      <c r="B15" s="6"/>
    </row>
    <row r="17" spans="1:1" x14ac:dyDescent="0.25">
      <c r="A17" s="1" t="s">
        <v>38</v>
      </c>
    </row>
    <row r="18" spans="1:1" x14ac:dyDescent="0.25">
      <c r="A18" s="1">
        <f>A12-A15</f>
        <v>2.759999999999998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CENÁRIO 1</vt:lpstr>
      <vt:lpstr>CENÁRIO 3</vt:lpstr>
      <vt:lpstr>CENÁRIO 4</vt:lpstr>
      <vt:lpstr>CENÁRIO 5</vt:lpstr>
      <vt:lpstr>ETIQUETA CAIXINHA</vt:lpstr>
      <vt:lpstr>MASTER</vt:lpstr>
      <vt:lpstr>COMPARAÇÃO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Laiza Borges da Silva</dc:creator>
  <cp:lastModifiedBy>Laiza Borges da Silva</cp:lastModifiedBy>
  <dcterms:created xsi:type="dcterms:W3CDTF">2024-07-01T14:20:54Z</dcterms:created>
  <dcterms:modified xsi:type="dcterms:W3CDTF">2024-07-04T14:04:36Z</dcterms:modified>
</cp:coreProperties>
</file>