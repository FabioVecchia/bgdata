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!Fadv\1-vmr\02 - Material TD\"/>
    </mc:Choice>
  </mc:AlternateContent>
  <xr:revisionPtr revIDLastSave="0" documentId="13_ncr:1_{381CAB75-82C8-400F-B0EC-3AFAB3CE66EE}" xr6:coauthVersionLast="47" xr6:coauthVersionMax="47" xr10:uidLastSave="{00000000-0000-0000-0000-000000000000}"/>
  <bookViews>
    <workbookView xWindow="-120" yWindow="-120" windowWidth="20730" windowHeight="11040" activeTab="1" xr2:uid="{0FAFB7D8-F0FA-4D81-A537-68C5467A4F75}"/>
  </bookViews>
  <sheets>
    <sheet name="Planilha1" sheetId="1" r:id="rId1"/>
    <sheet name="Médias - Temp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2" l="1"/>
  <c r="G41" i="2" s="1"/>
  <c r="F40" i="2"/>
  <c r="G40" i="2" s="1"/>
  <c r="G39" i="2"/>
  <c r="C50" i="2"/>
  <c r="C49" i="2"/>
  <c r="C48" i="2"/>
  <c r="B48" i="2"/>
  <c r="B49" i="2"/>
  <c r="B50" i="2"/>
  <c r="B47" i="2"/>
  <c r="C47" i="2" s="1"/>
  <c r="C46" i="2"/>
  <c r="C45" i="2"/>
  <c r="B45" i="2"/>
  <c r="B44" i="2"/>
  <c r="C44" i="2" s="1"/>
  <c r="B43" i="2"/>
  <c r="C43" i="2" s="1"/>
  <c r="B42" i="2"/>
  <c r="C42" i="2" s="1"/>
  <c r="B41" i="2"/>
  <c r="C41" i="2" s="1"/>
  <c r="B40" i="2"/>
  <c r="C40" i="2" s="1"/>
  <c r="C39" i="2"/>
  <c r="S32" i="2"/>
  <c r="S33" i="2"/>
  <c r="S30" i="2"/>
  <c r="S29" i="2"/>
  <c r="S28" i="2"/>
  <c r="S27" i="2"/>
  <c r="R23" i="2"/>
  <c r="R24" i="2"/>
  <c r="R25" i="2"/>
  <c r="S25" i="2" s="1"/>
  <c r="R26" i="2"/>
  <c r="R27" i="2"/>
  <c r="R28" i="2"/>
  <c r="R29" i="2"/>
  <c r="R30" i="2"/>
  <c r="R31" i="2"/>
  <c r="S31" i="2" s="1"/>
  <c r="R32" i="2"/>
  <c r="S22" i="2"/>
  <c r="S26" i="2"/>
  <c r="S24" i="2"/>
  <c r="S23" i="2"/>
  <c r="S21" i="2"/>
  <c r="N23" i="2"/>
  <c r="O23" i="2" s="1"/>
  <c r="N24" i="2"/>
  <c r="O24" i="2" s="1"/>
  <c r="N25" i="2"/>
  <c r="O25" i="2" s="1"/>
  <c r="N26" i="2"/>
  <c r="O26" i="2" s="1"/>
  <c r="N22" i="2"/>
  <c r="O22" i="2" s="1"/>
  <c r="O21" i="2"/>
  <c r="K33" i="2"/>
  <c r="G33" i="2"/>
  <c r="J23" i="2"/>
  <c r="K23" i="2" s="1"/>
  <c r="J24" i="2"/>
  <c r="K24" i="2" s="1"/>
  <c r="J25" i="2"/>
  <c r="K25" i="2" s="1"/>
  <c r="J26" i="2"/>
  <c r="K26" i="2" s="1"/>
  <c r="J27" i="2"/>
  <c r="J28" i="2"/>
  <c r="K28" i="2" s="1"/>
  <c r="K29" i="2"/>
  <c r="J30" i="2"/>
  <c r="J31" i="2"/>
  <c r="K31" i="2" s="1"/>
  <c r="K30" i="2"/>
  <c r="K27" i="2"/>
  <c r="J22" i="2"/>
  <c r="K22" i="2" s="1"/>
  <c r="K21" i="2"/>
  <c r="G32" i="2"/>
  <c r="G31" i="2"/>
  <c r="F31" i="2"/>
  <c r="F30" i="2"/>
  <c r="G30" i="2"/>
  <c r="G29" i="2"/>
  <c r="F28" i="2"/>
  <c r="G28" i="2" s="1"/>
  <c r="F27" i="2"/>
  <c r="G27" i="2" s="1"/>
  <c r="G26" i="2"/>
  <c r="F25" i="2"/>
  <c r="G25" i="2" s="1"/>
  <c r="G24" i="2"/>
  <c r="F23" i="2"/>
  <c r="G23" i="2" s="1"/>
  <c r="F22" i="2"/>
  <c r="G22" i="2" s="1"/>
  <c r="G21" i="2"/>
  <c r="B29" i="2"/>
  <c r="C29" i="2"/>
  <c r="B28" i="2"/>
  <c r="C28" i="2" s="1"/>
  <c r="B27" i="2"/>
  <c r="C27" i="2" s="1"/>
  <c r="B26" i="2"/>
  <c r="C26" i="2" s="1"/>
  <c r="B25" i="2"/>
  <c r="C25" i="2" s="1"/>
  <c r="B24" i="2"/>
  <c r="C24" i="2" s="1"/>
  <c r="C23" i="2"/>
  <c r="B23" i="2"/>
  <c r="B22" i="2"/>
  <c r="C22" i="2" s="1"/>
  <c r="C21" i="2"/>
  <c r="S5" i="2"/>
  <c r="R5" i="2"/>
  <c r="R4" i="2"/>
  <c r="S4" i="2" s="1"/>
  <c r="S3" i="2"/>
  <c r="O15" i="2"/>
  <c r="N5" i="2"/>
  <c r="O5" i="2" s="1"/>
  <c r="N6" i="2"/>
  <c r="O6" i="2" s="1"/>
  <c r="N7" i="2"/>
  <c r="N8" i="2"/>
  <c r="N9" i="2"/>
  <c r="O9" i="2" s="1"/>
  <c r="N10" i="2"/>
  <c r="N12" i="2"/>
  <c r="O12" i="2" s="1"/>
  <c r="N14" i="2"/>
  <c r="O14" i="2" s="1"/>
  <c r="O7" i="2"/>
  <c r="O8" i="2"/>
  <c r="O10" i="2"/>
  <c r="O11" i="2"/>
  <c r="O13" i="2"/>
  <c r="O3" i="2"/>
  <c r="N4" i="2"/>
  <c r="O4" i="2" s="1"/>
  <c r="K15" i="2"/>
  <c r="J5" i="2"/>
  <c r="K5" i="2" s="1"/>
  <c r="J6" i="2"/>
  <c r="J7" i="2"/>
  <c r="K7" i="2" s="1"/>
  <c r="J8" i="2"/>
  <c r="K8" i="2" s="1"/>
  <c r="J9" i="2"/>
  <c r="K10" i="2"/>
  <c r="J11" i="2"/>
  <c r="J12" i="2"/>
  <c r="K12" i="2" s="1"/>
  <c r="J13" i="2"/>
  <c r="J14" i="2"/>
  <c r="K14" i="2" s="1"/>
  <c r="J4" i="2"/>
  <c r="K13" i="2"/>
  <c r="K11" i="2"/>
  <c r="K9" i="2"/>
  <c r="K6" i="2"/>
  <c r="K3" i="2"/>
  <c r="K4" i="2"/>
  <c r="G15" i="2"/>
  <c r="F5" i="2"/>
  <c r="G5" i="2" s="1"/>
  <c r="F6" i="2"/>
  <c r="G6" i="2" s="1"/>
  <c r="F7" i="2"/>
  <c r="G7" i="2" s="1"/>
  <c r="F8" i="2"/>
  <c r="G8" i="2" s="1"/>
  <c r="F9" i="2"/>
  <c r="G9" i="2" s="1"/>
  <c r="G10" i="2"/>
  <c r="F11" i="2"/>
  <c r="G11" i="2" s="1"/>
  <c r="F12" i="2"/>
  <c r="G12" i="2" s="1"/>
  <c r="F13" i="2"/>
  <c r="G13" i="2" s="1"/>
  <c r="F14" i="2"/>
  <c r="G14" i="2" s="1"/>
  <c r="F4" i="2"/>
  <c r="G4" i="2" s="1"/>
  <c r="G3" i="2"/>
  <c r="B14" i="2"/>
  <c r="C1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4" i="2"/>
  <c r="C4" i="2" s="1"/>
  <c r="C3" i="2"/>
  <c r="G51" i="2" l="1"/>
  <c r="C51" i="2"/>
  <c r="O33" i="2"/>
  <c r="C33" i="2"/>
  <c r="S15" i="2"/>
  <c r="C15" i="2"/>
</calcChain>
</file>

<file path=xl/sharedStrings.xml><?xml version="1.0" encoding="utf-8"?>
<sst xmlns="http://schemas.openxmlformats.org/spreadsheetml/2006/main" count="85" uniqueCount="39">
  <si>
    <t>ATIVIDADE</t>
  </si>
  <si>
    <t>OPERADOR</t>
  </si>
  <si>
    <t>TEMPO</t>
  </si>
  <si>
    <t>Colocar Bucha + Graxa</t>
  </si>
  <si>
    <t>FIM</t>
  </si>
  <si>
    <t>INÍCIO</t>
  </si>
  <si>
    <t>Média</t>
  </si>
  <si>
    <t>COLOCAR BUCHA+GRAXA</t>
  </si>
  <si>
    <t>ROLAGEM</t>
  </si>
  <si>
    <t>PRÉ MONTAGEM</t>
  </si>
  <si>
    <t>MARCAÇÃO A LASER</t>
  </si>
  <si>
    <t>MARCAÇÃO A LASER (Com Buffer)</t>
  </si>
  <si>
    <t>COLOCAÇÃO DE ABRAÇADEIRA</t>
  </si>
  <si>
    <t>INSERÇÃO DA COIFA</t>
  </si>
  <si>
    <t>COLOCAÇÃO DE ABRAÇADEIRA (2)</t>
  </si>
  <si>
    <t>EMBALAGEM</t>
  </si>
  <si>
    <t>ENSACAR</t>
  </si>
  <si>
    <t>ETIQUETAGEM DA EMBALAGEM</t>
  </si>
  <si>
    <t>CAIXA GRANDE (21 peças)</t>
  </si>
  <si>
    <t>Operador 1</t>
  </si>
  <si>
    <t>Inserção da Coifa</t>
  </si>
  <si>
    <t>Pré Montagem</t>
  </si>
  <si>
    <t>Operador 2</t>
  </si>
  <si>
    <t>Rolagem</t>
  </si>
  <si>
    <t>Operador 3</t>
  </si>
  <si>
    <t>Operador 4</t>
  </si>
  <si>
    <t>Colocação de Abraçadeira</t>
  </si>
  <si>
    <t>Operador 5</t>
  </si>
  <si>
    <t>Operador 6</t>
  </si>
  <si>
    <t>Colocação de Abraçadeira (2)</t>
  </si>
  <si>
    <t>Operador 7</t>
  </si>
  <si>
    <t>Ensacar</t>
  </si>
  <si>
    <t>Operador 8</t>
  </si>
  <si>
    <t>Embalagem</t>
  </si>
  <si>
    <t>Operador 9</t>
  </si>
  <si>
    <t>Etiquetagem da Caixa</t>
  </si>
  <si>
    <t>Operador 10</t>
  </si>
  <si>
    <t>Embalagem Grande (21 peças)</t>
  </si>
  <si>
    <t>Marcação a Laser*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</si>
</sst>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20EDCC-C41C-490A-9746-969CB8FA1030}" name="Tabela1" displayName="Tabela1" ref="A1:C12" totalsRowShown="0">
  <autoFilter ref="A1:C12" xr:uid="{F520EDCC-C41C-490A-9746-969CB8FA1030}"/>
  <tableColumns count="3">
    <tableColumn id="1" xr3:uid="{29715EB6-0C36-4B41-934A-99A4AAD2E748}" name="ATIVIDADE"/>
    <tableColumn id="2" xr3:uid="{F7D283F5-EF1D-464F-A570-52D62EF76C74}" name="OPERADOR"/>
    <tableColumn id="3" xr3:uid="{9EBB34C6-4991-47CE-A316-FE5887593C74}" name="TEMP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9F05-7FD9-43DD-A33B-990745CE18F4}">
  <dimension ref="A1:C12"/>
  <sheetViews>
    <sheetView showGridLines="0" workbookViewId="0">
      <selection activeCell="E12" sqref="E12"/>
    </sheetView>
  </sheetViews>
  <sheetFormatPr defaultRowHeight="15" x14ac:dyDescent="0.25"/>
  <cols>
    <col min="1" max="1" width="28" bestFit="1" customWidth="1"/>
    <col min="2" max="2" width="13" customWidth="1"/>
    <col min="3" max="3" width="9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19</v>
      </c>
      <c r="C2" s="12">
        <v>5.88</v>
      </c>
    </row>
    <row r="3" spans="1:3" x14ac:dyDescent="0.25">
      <c r="A3" t="s">
        <v>21</v>
      </c>
      <c r="B3" t="s">
        <v>22</v>
      </c>
      <c r="C3" s="12">
        <v>6.1816666666666675</v>
      </c>
    </row>
    <row r="4" spans="1:3" x14ac:dyDescent="0.25">
      <c r="A4" t="s">
        <v>23</v>
      </c>
      <c r="B4" t="s">
        <v>24</v>
      </c>
      <c r="C4" s="12">
        <v>5.7416666666666671</v>
      </c>
    </row>
    <row r="5" spans="1:3" x14ac:dyDescent="0.25">
      <c r="A5" t="s">
        <v>38</v>
      </c>
      <c r="B5" t="s">
        <v>25</v>
      </c>
      <c r="C5" s="12">
        <v>5.3125</v>
      </c>
    </row>
    <row r="6" spans="1:3" x14ac:dyDescent="0.25">
      <c r="A6" t="s">
        <v>26</v>
      </c>
      <c r="B6" t="s">
        <v>27</v>
      </c>
      <c r="C6" s="12">
        <v>5.8888888888888893</v>
      </c>
    </row>
    <row r="7" spans="1:3" x14ac:dyDescent="0.25">
      <c r="A7" t="s">
        <v>20</v>
      </c>
      <c r="B7" t="s">
        <v>28</v>
      </c>
      <c r="C7" s="12">
        <v>9.6691666666666656</v>
      </c>
    </row>
    <row r="8" spans="1:3" x14ac:dyDescent="0.25">
      <c r="A8" t="s">
        <v>29</v>
      </c>
      <c r="B8" t="s">
        <v>30</v>
      </c>
      <c r="C8" s="12">
        <v>12.977272727272727</v>
      </c>
    </row>
    <row r="9" spans="1:3" x14ac:dyDescent="0.25">
      <c r="A9" t="s">
        <v>31</v>
      </c>
      <c r="B9" t="s">
        <v>32</v>
      </c>
      <c r="C9" s="12">
        <v>3.6665999999999999</v>
      </c>
    </row>
    <row r="10" spans="1:3" x14ac:dyDescent="0.25">
      <c r="A10" t="s">
        <v>33</v>
      </c>
      <c r="B10" t="s">
        <v>34</v>
      </c>
      <c r="C10" s="12">
        <v>8.0416666666666661</v>
      </c>
    </row>
    <row r="11" spans="1:3" x14ac:dyDescent="0.25">
      <c r="A11" t="s">
        <v>35</v>
      </c>
      <c r="B11" t="s">
        <v>36</v>
      </c>
      <c r="C11" s="12">
        <v>1.8333333333333333</v>
      </c>
    </row>
    <row r="12" spans="1:3" x14ac:dyDescent="0.25">
      <c r="A12" t="s">
        <v>37</v>
      </c>
      <c r="B12" t="s">
        <v>34</v>
      </c>
      <c r="C12" s="12">
        <v>34.61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C95B-4A56-4B45-8E2A-8220BBD63EB5}">
  <dimension ref="A1:S51"/>
  <sheetViews>
    <sheetView showGridLines="0" tabSelected="1" workbookViewId="0">
      <selection activeCell="E37" sqref="E37"/>
    </sheetView>
  </sheetViews>
  <sheetFormatPr defaultRowHeight="15" x14ac:dyDescent="0.25"/>
  <cols>
    <col min="3" max="3" width="12" bestFit="1" customWidth="1"/>
    <col min="11" max="11" width="12" bestFit="1" customWidth="1"/>
    <col min="19" max="19" width="12.7109375" bestFit="1" customWidth="1"/>
  </cols>
  <sheetData>
    <row r="1" spans="1:19" ht="15.75" thickBot="1" x14ac:dyDescent="0.3">
      <c r="A1" s="1" t="s">
        <v>7</v>
      </c>
      <c r="B1" s="2"/>
      <c r="C1" s="3"/>
      <c r="E1" s="1" t="s">
        <v>9</v>
      </c>
      <c r="F1" s="2"/>
      <c r="G1" s="3"/>
      <c r="I1" s="1" t="s">
        <v>8</v>
      </c>
      <c r="J1" s="2"/>
      <c r="K1" s="3"/>
      <c r="M1" s="1" t="s">
        <v>10</v>
      </c>
      <c r="N1" s="2"/>
      <c r="O1" s="3"/>
      <c r="Q1" s="1" t="s">
        <v>11</v>
      </c>
      <c r="R1" s="2"/>
      <c r="S1" s="3"/>
    </row>
    <row r="2" spans="1:19" x14ac:dyDescent="0.25">
      <c r="A2" s="5" t="s">
        <v>4</v>
      </c>
      <c r="B2" s="5" t="s">
        <v>5</v>
      </c>
      <c r="C2" s="6" t="s">
        <v>2</v>
      </c>
      <c r="E2" s="4" t="s">
        <v>4</v>
      </c>
      <c r="F2" s="5" t="s">
        <v>5</v>
      </c>
      <c r="G2" s="6" t="s">
        <v>2</v>
      </c>
      <c r="I2" s="4" t="s">
        <v>4</v>
      </c>
      <c r="J2" s="5" t="s">
        <v>5</v>
      </c>
      <c r="K2" s="6" t="s">
        <v>2</v>
      </c>
      <c r="M2" s="4" t="s">
        <v>4</v>
      </c>
      <c r="N2" s="5" t="s">
        <v>5</v>
      </c>
      <c r="O2" s="6" t="s">
        <v>2</v>
      </c>
      <c r="Q2" s="4" t="s">
        <v>4</v>
      </c>
      <c r="R2" s="5" t="s">
        <v>5</v>
      </c>
      <c r="S2" s="6" t="s">
        <v>2</v>
      </c>
    </row>
    <row r="3" spans="1:19" x14ac:dyDescent="0.25">
      <c r="A3">
        <v>5.5</v>
      </c>
      <c r="B3">
        <v>1.08</v>
      </c>
      <c r="C3" s="8">
        <f>A3-B3</f>
        <v>4.42</v>
      </c>
      <c r="E3" s="7">
        <v>10.72</v>
      </c>
      <c r="F3">
        <v>4.72</v>
      </c>
      <c r="G3" s="8">
        <f>E3-F3</f>
        <v>6.0000000000000009</v>
      </c>
      <c r="I3" s="7">
        <v>34.880000000000003</v>
      </c>
      <c r="J3">
        <v>29.38</v>
      </c>
      <c r="K3" s="8">
        <f>I3-J3</f>
        <v>5.5000000000000036</v>
      </c>
      <c r="M3" s="7">
        <v>12.95</v>
      </c>
      <c r="N3">
        <v>7.7</v>
      </c>
      <c r="O3" s="8">
        <f>M3-N3</f>
        <v>5.2499999999999991</v>
      </c>
      <c r="Q3" s="7">
        <v>155.19999999999999</v>
      </c>
      <c r="R3">
        <v>151.94999999999999</v>
      </c>
      <c r="S3" s="8">
        <f>Q3-R3</f>
        <v>3.25</v>
      </c>
    </row>
    <row r="4" spans="1:19" x14ac:dyDescent="0.25">
      <c r="A4">
        <v>10.3</v>
      </c>
      <c r="B4">
        <f>A3</f>
        <v>5.5</v>
      </c>
      <c r="C4" s="8">
        <f>A4-B4</f>
        <v>4.8000000000000007</v>
      </c>
      <c r="E4" s="7">
        <v>16.47</v>
      </c>
      <c r="F4">
        <f>E3</f>
        <v>10.72</v>
      </c>
      <c r="G4" s="8">
        <f t="shared" ref="G4:G14" si="0">E4-F4</f>
        <v>5.7499999999999982</v>
      </c>
      <c r="I4" s="7">
        <v>40.630000000000003</v>
      </c>
      <c r="J4">
        <f>I3</f>
        <v>34.880000000000003</v>
      </c>
      <c r="K4" s="8">
        <f t="shared" ref="K4:K14" si="1">I4-J4</f>
        <v>5.75</v>
      </c>
      <c r="M4" s="7">
        <v>17.7</v>
      </c>
      <c r="N4">
        <f>M3</f>
        <v>12.95</v>
      </c>
      <c r="O4" s="8">
        <f t="shared" ref="O4:O13" si="2">M4-N4</f>
        <v>4.75</v>
      </c>
      <c r="Q4" s="7">
        <v>159.69999999999999</v>
      </c>
      <c r="R4">
        <f>Q3</f>
        <v>155.19999999999999</v>
      </c>
      <c r="S4" s="8">
        <f t="shared" ref="S4:S5" si="3">Q4-R4</f>
        <v>4.5</v>
      </c>
    </row>
    <row r="5" spans="1:19" x14ac:dyDescent="0.25">
      <c r="A5">
        <v>13.78</v>
      </c>
      <c r="B5">
        <f t="shared" ref="B5:B14" si="4">A4</f>
        <v>10.3</v>
      </c>
      <c r="C5" s="8">
        <f t="shared" ref="C5:C14" si="5">A5-B5</f>
        <v>3.4799999999999986</v>
      </c>
      <c r="E5" s="7">
        <v>24.47</v>
      </c>
      <c r="F5">
        <f t="shared" ref="F5:F14" si="6">E4</f>
        <v>16.47</v>
      </c>
      <c r="G5" s="8">
        <f t="shared" si="0"/>
        <v>8</v>
      </c>
      <c r="I5" s="7">
        <v>45.63</v>
      </c>
      <c r="J5">
        <f t="shared" ref="J5:J14" si="7">I4</f>
        <v>40.630000000000003</v>
      </c>
      <c r="K5" s="8">
        <f t="shared" si="1"/>
        <v>5</v>
      </c>
      <c r="M5" s="7">
        <v>22.95</v>
      </c>
      <c r="N5">
        <f t="shared" ref="N5:N14" si="8">M4</f>
        <v>17.7</v>
      </c>
      <c r="O5" s="8">
        <f t="shared" si="2"/>
        <v>5.25</v>
      </c>
      <c r="Q5" s="7">
        <v>162.94999999999999</v>
      </c>
      <c r="R5">
        <f t="shared" ref="R5" si="9">Q4</f>
        <v>159.69999999999999</v>
      </c>
      <c r="S5" s="8">
        <f t="shared" si="3"/>
        <v>3.25</v>
      </c>
    </row>
    <row r="6" spans="1:19" x14ac:dyDescent="0.25">
      <c r="A6">
        <v>17.53</v>
      </c>
      <c r="B6">
        <f t="shared" si="4"/>
        <v>13.78</v>
      </c>
      <c r="C6" s="8">
        <f t="shared" si="5"/>
        <v>3.7500000000000018</v>
      </c>
      <c r="E6" s="7">
        <v>29.97</v>
      </c>
      <c r="F6">
        <f t="shared" si="6"/>
        <v>24.47</v>
      </c>
      <c r="G6" s="8">
        <f t="shared" si="0"/>
        <v>5.5</v>
      </c>
      <c r="I6" s="7">
        <v>50.88</v>
      </c>
      <c r="J6">
        <f t="shared" si="7"/>
        <v>45.63</v>
      </c>
      <c r="K6" s="8">
        <f t="shared" si="1"/>
        <v>5.25</v>
      </c>
      <c r="M6" s="7">
        <v>28.45</v>
      </c>
      <c r="N6">
        <f t="shared" si="8"/>
        <v>22.95</v>
      </c>
      <c r="O6" s="8">
        <f t="shared" si="2"/>
        <v>5.5</v>
      </c>
      <c r="Q6" s="7"/>
      <c r="S6" s="8"/>
    </row>
    <row r="7" spans="1:19" x14ac:dyDescent="0.25">
      <c r="A7">
        <v>22.03</v>
      </c>
      <c r="B7">
        <f t="shared" si="4"/>
        <v>17.53</v>
      </c>
      <c r="C7" s="8">
        <f t="shared" si="5"/>
        <v>4.5</v>
      </c>
      <c r="E7" s="7">
        <v>35.9</v>
      </c>
      <c r="F7">
        <f t="shared" si="6"/>
        <v>29.97</v>
      </c>
      <c r="G7" s="8">
        <f t="shared" si="0"/>
        <v>5.93</v>
      </c>
      <c r="I7" s="7">
        <v>56.63</v>
      </c>
      <c r="J7">
        <f t="shared" si="7"/>
        <v>50.88</v>
      </c>
      <c r="K7" s="8">
        <f t="shared" si="1"/>
        <v>5.75</v>
      </c>
      <c r="M7" s="7">
        <v>33.450000000000003</v>
      </c>
      <c r="N7">
        <f t="shared" si="8"/>
        <v>28.45</v>
      </c>
      <c r="O7" s="8">
        <f t="shared" si="2"/>
        <v>5.0000000000000036</v>
      </c>
      <c r="Q7" s="7"/>
      <c r="S7" s="8"/>
    </row>
    <row r="8" spans="1:19" x14ac:dyDescent="0.25">
      <c r="A8">
        <v>25.03</v>
      </c>
      <c r="B8">
        <f t="shared" si="4"/>
        <v>22.03</v>
      </c>
      <c r="C8" s="8">
        <f t="shared" si="5"/>
        <v>3</v>
      </c>
      <c r="E8" s="7">
        <v>42.4</v>
      </c>
      <c r="F8">
        <f t="shared" si="6"/>
        <v>35.9</v>
      </c>
      <c r="G8" s="8">
        <f t="shared" si="0"/>
        <v>6.5</v>
      </c>
      <c r="I8" s="7">
        <v>62.13</v>
      </c>
      <c r="J8">
        <f t="shared" si="7"/>
        <v>56.63</v>
      </c>
      <c r="K8" s="8">
        <f t="shared" si="1"/>
        <v>5.5</v>
      </c>
      <c r="M8" s="7">
        <v>38.200000000000003</v>
      </c>
      <c r="N8">
        <f t="shared" si="8"/>
        <v>33.450000000000003</v>
      </c>
      <c r="O8" s="8">
        <f t="shared" si="2"/>
        <v>4.75</v>
      </c>
      <c r="Q8" s="7"/>
      <c r="S8" s="8"/>
    </row>
    <row r="9" spans="1:19" x14ac:dyDescent="0.25">
      <c r="A9">
        <v>28.28</v>
      </c>
      <c r="B9">
        <f t="shared" si="4"/>
        <v>25.03</v>
      </c>
      <c r="C9" s="8">
        <f t="shared" si="5"/>
        <v>3.25</v>
      </c>
      <c r="E9" s="7">
        <v>48.4</v>
      </c>
      <c r="F9">
        <f t="shared" si="6"/>
        <v>42.4</v>
      </c>
      <c r="G9" s="8">
        <f t="shared" si="0"/>
        <v>6</v>
      </c>
      <c r="I9" s="7">
        <v>68.13</v>
      </c>
      <c r="J9">
        <f t="shared" si="7"/>
        <v>62.13</v>
      </c>
      <c r="K9" s="8">
        <f t="shared" si="1"/>
        <v>5.9999999999999929</v>
      </c>
      <c r="M9" s="7">
        <v>43.45</v>
      </c>
      <c r="N9">
        <f t="shared" si="8"/>
        <v>38.200000000000003</v>
      </c>
      <c r="O9" s="8">
        <f t="shared" si="2"/>
        <v>5.25</v>
      </c>
      <c r="Q9" s="7"/>
      <c r="S9" s="8"/>
    </row>
    <row r="10" spans="1:19" x14ac:dyDescent="0.25">
      <c r="A10">
        <v>30.78</v>
      </c>
      <c r="B10">
        <f t="shared" si="4"/>
        <v>28.28</v>
      </c>
      <c r="C10" s="8">
        <f t="shared" si="5"/>
        <v>2.5</v>
      </c>
      <c r="E10" s="7">
        <v>65.400000000000006</v>
      </c>
      <c r="F10">
        <v>59.4</v>
      </c>
      <c r="G10" s="8">
        <f t="shared" si="0"/>
        <v>6.0000000000000071</v>
      </c>
      <c r="I10" s="7">
        <v>90.88</v>
      </c>
      <c r="J10">
        <v>82.88</v>
      </c>
      <c r="K10" s="8">
        <f t="shared" si="1"/>
        <v>8</v>
      </c>
      <c r="M10" s="7">
        <v>49.45</v>
      </c>
      <c r="N10">
        <f t="shared" si="8"/>
        <v>43.45</v>
      </c>
      <c r="O10" s="8">
        <f t="shared" si="2"/>
        <v>6</v>
      </c>
      <c r="Q10" s="7"/>
      <c r="S10" s="8"/>
    </row>
    <row r="11" spans="1:19" x14ac:dyDescent="0.25">
      <c r="A11">
        <v>33.53</v>
      </c>
      <c r="B11">
        <f t="shared" si="4"/>
        <v>30.78</v>
      </c>
      <c r="C11" s="8">
        <f t="shared" si="5"/>
        <v>2.75</v>
      </c>
      <c r="E11" s="7">
        <v>71.900000000000006</v>
      </c>
      <c r="F11">
        <f t="shared" si="6"/>
        <v>65.400000000000006</v>
      </c>
      <c r="G11" s="8">
        <f t="shared" si="0"/>
        <v>6.5</v>
      </c>
      <c r="I11" s="7">
        <v>96.38</v>
      </c>
      <c r="J11">
        <f t="shared" si="7"/>
        <v>90.88</v>
      </c>
      <c r="K11" s="8">
        <f t="shared" si="1"/>
        <v>5.5</v>
      </c>
      <c r="M11" s="7">
        <v>65.95</v>
      </c>
      <c r="N11">
        <v>59.95</v>
      </c>
      <c r="O11" s="8">
        <f t="shared" si="2"/>
        <v>6</v>
      </c>
      <c r="Q11" s="7"/>
      <c r="S11" s="8"/>
    </row>
    <row r="12" spans="1:19" x14ac:dyDescent="0.25">
      <c r="A12">
        <v>36.28</v>
      </c>
      <c r="B12">
        <f t="shared" si="4"/>
        <v>33.53</v>
      </c>
      <c r="C12" s="8">
        <f t="shared" si="5"/>
        <v>2.75</v>
      </c>
      <c r="E12" s="7">
        <v>77.650000000000006</v>
      </c>
      <c r="F12">
        <f t="shared" si="6"/>
        <v>71.900000000000006</v>
      </c>
      <c r="G12" s="8">
        <f t="shared" si="0"/>
        <v>5.75</v>
      </c>
      <c r="I12" s="7">
        <v>102.13</v>
      </c>
      <c r="J12">
        <f t="shared" si="7"/>
        <v>96.38</v>
      </c>
      <c r="K12" s="8">
        <f t="shared" si="1"/>
        <v>5.75</v>
      </c>
      <c r="M12" s="7">
        <v>71.7</v>
      </c>
      <c r="N12">
        <f t="shared" si="8"/>
        <v>65.95</v>
      </c>
      <c r="O12" s="8">
        <f t="shared" si="2"/>
        <v>5.75</v>
      </c>
      <c r="Q12" s="7"/>
      <c r="S12" s="8"/>
    </row>
    <row r="13" spans="1:19" x14ac:dyDescent="0.25">
      <c r="A13">
        <v>38.78</v>
      </c>
      <c r="B13">
        <f t="shared" si="4"/>
        <v>36.28</v>
      </c>
      <c r="C13" s="8">
        <f t="shared" si="5"/>
        <v>2.5</v>
      </c>
      <c r="E13" s="7">
        <v>83.65</v>
      </c>
      <c r="F13">
        <f t="shared" si="6"/>
        <v>77.650000000000006</v>
      </c>
      <c r="G13" s="8">
        <f t="shared" si="0"/>
        <v>6</v>
      </c>
      <c r="I13" s="7">
        <v>107.13</v>
      </c>
      <c r="J13">
        <f t="shared" si="7"/>
        <v>102.13</v>
      </c>
      <c r="K13" s="8">
        <f t="shared" si="1"/>
        <v>5</v>
      </c>
      <c r="M13" s="7">
        <v>98.45</v>
      </c>
      <c r="N13">
        <v>93.2</v>
      </c>
      <c r="O13" s="8">
        <f t="shared" si="2"/>
        <v>5.25</v>
      </c>
      <c r="Q13" s="7"/>
      <c r="S13" s="8"/>
    </row>
    <row r="14" spans="1:19" ht="15.75" thickBot="1" x14ac:dyDescent="0.3">
      <c r="A14" s="9">
        <v>42.28</v>
      </c>
      <c r="B14" s="9">
        <f t="shared" si="4"/>
        <v>38.78</v>
      </c>
      <c r="C14" s="10">
        <f t="shared" si="5"/>
        <v>3.5</v>
      </c>
      <c r="E14" s="7">
        <v>89.9</v>
      </c>
      <c r="F14">
        <f t="shared" si="6"/>
        <v>83.65</v>
      </c>
      <c r="G14" s="8">
        <f t="shared" si="0"/>
        <v>6.25</v>
      </c>
      <c r="I14" s="7">
        <v>113.03</v>
      </c>
      <c r="J14">
        <f t="shared" si="7"/>
        <v>107.13</v>
      </c>
      <c r="K14" s="8">
        <f t="shared" si="1"/>
        <v>5.9000000000000057</v>
      </c>
      <c r="M14" s="7">
        <v>103.45</v>
      </c>
      <c r="N14">
        <f t="shared" si="8"/>
        <v>98.45</v>
      </c>
      <c r="O14" s="8">
        <f>M14-N14</f>
        <v>5</v>
      </c>
      <c r="Q14" s="7"/>
      <c r="S14" s="8"/>
    </row>
    <row r="15" spans="1:19" ht="15.75" thickBot="1" x14ac:dyDescent="0.3">
      <c r="A15" s="2" t="s">
        <v>6</v>
      </c>
      <c r="B15" s="2"/>
      <c r="C15" s="11">
        <f>AVERAGE(C3:C14)</f>
        <v>3.4333333333333336</v>
      </c>
      <c r="E15" s="1" t="s">
        <v>6</v>
      </c>
      <c r="F15" s="2"/>
      <c r="G15" s="3">
        <f>AVERAGE(G3:G14)</f>
        <v>6.1816666666666675</v>
      </c>
      <c r="I15" s="1" t="s">
        <v>6</v>
      </c>
      <c r="J15" s="2"/>
      <c r="K15" s="3">
        <f>AVERAGE(K3:K14)</f>
        <v>5.7416666666666671</v>
      </c>
      <c r="M15" s="1" t="s">
        <v>6</v>
      </c>
      <c r="N15" s="2"/>
      <c r="O15" s="3">
        <f>AVERAGE(O3:O14)</f>
        <v>5.3125</v>
      </c>
      <c r="Q15" s="1" t="s">
        <v>6</v>
      </c>
      <c r="R15" s="2"/>
      <c r="S15" s="3">
        <f>AVERAGE(S3:S14)</f>
        <v>3.6666666666666665</v>
      </c>
    </row>
    <row r="18" spans="1:19" ht="15.75" thickBot="1" x14ac:dyDescent="0.3"/>
    <row r="19" spans="1:19" ht="15.75" thickBot="1" x14ac:dyDescent="0.3">
      <c r="A19" s="1" t="s">
        <v>12</v>
      </c>
      <c r="B19" s="2"/>
      <c r="C19" s="3"/>
      <c r="E19" s="1" t="s">
        <v>13</v>
      </c>
      <c r="F19" s="2"/>
      <c r="G19" s="3"/>
      <c r="I19" s="1" t="s">
        <v>14</v>
      </c>
      <c r="J19" s="2"/>
      <c r="K19" s="3"/>
      <c r="M19" s="1" t="s">
        <v>16</v>
      </c>
      <c r="N19" s="2"/>
      <c r="O19" s="3"/>
      <c r="Q19" s="1" t="s">
        <v>15</v>
      </c>
      <c r="R19" s="2"/>
      <c r="S19" s="3"/>
    </row>
    <row r="20" spans="1:19" x14ac:dyDescent="0.25">
      <c r="A20" s="4" t="s">
        <v>4</v>
      </c>
      <c r="B20" s="5" t="s">
        <v>5</v>
      </c>
      <c r="C20" s="6" t="s">
        <v>2</v>
      </c>
      <c r="E20" s="4" t="s">
        <v>4</v>
      </c>
      <c r="F20" s="5" t="s">
        <v>5</v>
      </c>
      <c r="G20" s="6" t="s">
        <v>2</v>
      </c>
      <c r="I20" s="4" t="s">
        <v>4</v>
      </c>
      <c r="J20" s="5" t="s">
        <v>5</v>
      </c>
      <c r="K20" s="6" t="s">
        <v>2</v>
      </c>
      <c r="M20" s="4" t="s">
        <v>4</v>
      </c>
      <c r="N20" s="5" t="s">
        <v>5</v>
      </c>
      <c r="O20" s="6" t="s">
        <v>2</v>
      </c>
      <c r="Q20" s="4" t="s">
        <v>4</v>
      </c>
      <c r="R20" s="5" t="s">
        <v>5</v>
      </c>
      <c r="S20" s="6" t="s">
        <v>2</v>
      </c>
    </row>
    <row r="21" spans="1:19" x14ac:dyDescent="0.25">
      <c r="A21" s="7">
        <v>21.94</v>
      </c>
      <c r="B21">
        <v>16.190000000000001</v>
      </c>
      <c r="C21" s="8">
        <f>A21-B21</f>
        <v>5.75</v>
      </c>
      <c r="E21" s="7">
        <v>12.45</v>
      </c>
      <c r="F21">
        <v>3.95</v>
      </c>
      <c r="G21" s="8">
        <f>E21-F21</f>
        <v>8.5</v>
      </c>
      <c r="I21" s="7">
        <v>18.04</v>
      </c>
      <c r="J21">
        <v>10.54</v>
      </c>
      <c r="K21" s="8">
        <f>I21-J21</f>
        <v>7.5</v>
      </c>
      <c r="M21" s="7">
        <v>3.25</v>
      </c>
      <c r="N21">
        <v>0</v>
      </c>
      <c r="O21" s="8">
        <f>M21-N21</f>
        <v>3.25</v>
      </c>
      <c r="Q21" s="7">
        <v>16.5</v>
      </c>
      <c r="R21">
        <v>5.5</v>
      </c>
      <c r="S21" s="8">
        <f>Q21-R21</f>
        <v>11</v>
      </c>
    </row>
    <row r="22" spans="1:19" x14ac:dyDescent="0.25">
      <c r="A22" s="7">
        <v>26.29</v>
      </c>
      <c r="B22">
        <f>A21</f>
        <v>21.94</v>
      </c>
      <c r="C22" s="8">
        <f t="shared" ref="C22:C29" si="10">A22-B22</f>
        <v>4.3499999999999979</v>
      </c>
      <c r="E22" s="7">
        <v>20.7</v>
      </c>
      <c r="F22">
        <f>E21</f>
        <v>12.45</v>
      </c>
      <c r="G22" s="8">
        <f t="shared" ref="G22:G32" si="11">E22-F22</f>
        <v>8.25</v>
      </c>
      <c r="I22" s="7">
        <v>32.29</v>
      </c>
      <c r="J22">
        <f>I21</f>
        <v>18.04</v>
      </c>
      <c r="K22" s="8">
        <f t="shared" ref="K22:K31" si="12">I22-J22</f>
        <v>14.25</v>
      </c>
      <c r="M22" s="7">
        <v>8</v>
      </c>
      <c r="N22">
        <f>M21</f>
        <v>3.25</v>
      </c>
      <c r="O22" s="8">
        <f t="shared" ref="O22:O26" si="13">M22-N22</f>
        <v>4.75</v>
      </c>
      <c r="Q22" s="7">
        <v>27</v>
      </c>
      <c r="R22">
        <v>19.75</v>
      </c>
      <c r="S22" s="8">
        <f t="shared" ref="S22:S32" si="14">Q22-R22</f>
        <v>7.25</v>
      </c>
    </row>
    <row r="23" spans="1:19" x14ac:dyDescent="0.25">
      <c r="A23" s="7">
        <v>32.19</v>
      </c>
      <c r="B23">
        <f t="shared" ref="B23:B29" si="15">A22</f>
        <v>26.29</v>
      </c>
      <c r="C23" s="8">
        <f t="shared" si="10"/>
        <v>5.8999999999999986</v>
      </c>
      <c r="E23" s="7">
        <v>28.7</v>
      </c>
      <c r="F23">
        <f t="shared" ref="F23:F28" si="16">E22</f>
        <v>20.7</v>
      </c>
      <c r="G23" s="8">
        <f t="shared" si="11"/>
        <v>8</v>
      </c>
      <c r="I23" s="7">
        <v>40.54</v>
      </c>
      <c r="J23">
        <f t="shared" ref="J23:J31" si="17">I22</f>
        <v>32.29</v>
      </c>
      <c r="K23" s="8">
        <f t="shared" si="12"/>
        <v>8.25</v>
      </c>
      <c r="M23" s="7">
        <v>11.25</v>
      </c>
      <c r="N23">
        <f t="shared" ref="N23:N26" si="18">M22</f>
        <v>8</v>
      </c>
      <c r="O23" s="8">
        <f t="shared" si="13"/>
        <v>3.25</v>
      </c>
      <c r="Q23" s="7">
        <v>33.75</v>
      </c>
      <c r="R23">
        <f t="shared" ref="R23:R32" si="19">Q22</f>
        <v>27</v>
      </c>
      <c r="S23" s="8">
        <f t="shared" si="14"/>
        <v>6.75</v>
      </c>
    </row>
    <row r="24" spans="1:19" x14ac:dyDescent="0.25">
      <c r="A24" s="7">
        <v>37.69</v>
      </c>
      <c r="B24">
        <f t="shared" si="15"/>
        <v>32.19</v>
      </c>
      <c r="C24" s="8">
        <f t="shared" si="10"/>
        <v>5.5</v>
      </c>
      <c r="E24" s="7">
        <v>52.45</v>
      </c>
      <c r="F24">
        <v>44.45</v>
      </c>
      <c r="G24" s="8">
        <f t="shared" si="11"/>
        <v>8</v>
      </c>
      <c r="I24" s="7">
        <v>55.29</v>
      </c>
      <c r="J24">
        <f t="shared" si="17"/>
        <v>40.54</v>
      </c>
      <c r="K24" s="8">
        <f t="shared" si="12"/>
        <v>14.75</v>
      </c>
      <c r="M24" s="7">
        <v>15</v>
      </c>
      <c r="N24">
        <f t="shared" si="18"/>
        <v>11.25</v>
      </c>
      <c r="O24" s="8">
        <f t="shared" si="13"/>
        <v>3.75</v>
      </c>
      <c r="Q24" s="7">
        <v>43</v>
      </c>
      <c r="R24">
        <f t="shared" si="19"/>
        <v>33.75</v>
      </c>
      <c r="S24" s="8">
        <f t="shared" si="14"/>
        <v>9.25</v>
      </c>
    </row>
    <row r="25" spans="1:19" x14ac:dyDescent="0.25">
      <c r="A25" s="7">
        <v>43.19</v>
      </c>
      <c r="B25">
        <f t="shared" si="15"/>
        <v>37.69</v>
      </c>
      <c r="C25" s="8">
        <f t="shared" si="10"/>
        <v>5.5</v>
      </c>
      <c r="E25" s="7">
        <v>62.2</v>
      </c>
      <c r="F25">
        <f t="shared" si="16"/>
        <v>52.45</v>
      </c>
      <c r="G25" s="8">
        <f t="shared" si="11"/>
        <v>9.75</v>
      </c>
      <c r="I25" s="7">
        <v>75.040000000000006</v>
      </c>
      <c r="J25">
        <f t="shared" si="17"/>
        <v>55.29</v>
      </c>
      <c r="K25" s="8">
        <f t="shared" si="12"/>
        <v>19.750000000000007</v>
      </c>
      <c r="M25" s="7">
        <v>18</v>
      </c>
      <c r="N25">
        <f t="shared" si="18"/>
        <v>15</v>
      </c>
      <c r="O25" s="8">
        <f t="shared" si="13"/>
        <v>3</v>
      </c>
      <c r="Q25" s="7">
        <v>50.75</v>
      </c>
      <c r="R25">
        <f t="shared" si="19"/>
        <v>43</v>
      </c>
      <c r="S25" s="8">
        <f t="shared" si="14"/>
        <v>7.75</v>
      </c>
    </row>
    <row r="26" spans="1:19" x14ac:dyDescent="0.25">
      <c r="A26" s="7">
        <v>48.69</v>
      </c>
      <c r="B26">
        <f t="shared" si="15"/>
        <v>43.19</v>
      </c>
      <c r="C26" s="8">
        <f t="shared" si="10"/>
        <v>5.5</v>
      </c>
      <c r="E26" s="7">
        <v>84.2</v>
      </c>
      <c r="F26">
        <v>76.2</v>
      </c>
      <c r="G26" s="8">
        <f t="shared" si="11"/>
        <v>8</v>
      </c>
      <c r="I26" s="7">
        <v>86.04</v>
      </c>
      <c r="J26">
        <f t="shared" si="17"/>
        <v>75.040000000000006</v>
      </c>
      <c r="K26" s="8">
        <f t="shared" si="12"/>
        <v>11</v>
      </c>
      <c r="M26" s="7">
        <v>22</v>
      </c>
      <c r="N26">
        <f t="shared" si="18"/>
        <v>18</v>
      </c>
      <c r="O26" s="8">
        <f t="shared" si="13"/>
        <v>4</v>
      </c>
      <c r="Q26" s="7">
        <v>59.75</v>
      </c>
      <c r="R26">
        <f t="shared" si="19"/>
        <v>50.75</v>
      </c>
      <c r="S26" s="8">
        <f t="shared" si="14"/>
        <v>9</v>
      </c>
    </row>
    <row r="27" spans="1:19" x14ac:dyDescent="0.25">
      <c r="A27" s="7">
        <v>54.69</v>
      </c>
      <c r="B27">
        <f t="shared" si="15"/>
        <v>48.69</v>
      </c>
      <c r="C27" s="8">
        <f t="shared" si="10"/>
        <v>6</v>
      </c>
      <c r="E27" s="7">
        <v>95.95</v>
      </c>
      <c r="F27">
        <f t="shared" si="16"/>
        <v>84.2</v>
      </c>
      <c r="G27" s="8">
        <f t="shared" si="11"/>
        <v>11.75</v>
      </c>
      <c r="I27" s="7">
        <v>95.79</v>
      </c>
      <c r="J27">
        <f t="shared" si="17"/>
        <v>86.04</v>
      </c>
      <c r="K27" s="8">
        <f t="shared" si="12"/>
        <v>9.75</v>
      </c>
      <c r="M27" s="7"/>
      <c r="O27" s="8"/>
      <c r="Q27" s="7">
        <v>67</v>
      </c>
      <c r="R27">
        <f t="shared" si="19"/>
        <v>59.75</v>
      </c>
      <c r="S27" s="8">
        <f t="shared" si="14"/>
        <v>7.25</v>
      </c>
    </row>
    <row r="28" spans="1:19" x14ac:dyDescent="0.25">
      <c r="A28" s="7">
        <v>63.44</v>
      </c>
      <c r="B28">
        <f t="shared" si="15"/>
        <v>54.69</v>
      </c>
      <c r="C28" s="8">
        <f t="shared" si="10"/>
        <v>8.75</v>
      </c>
      <c r="E28" s="7">
        <v>105.7</v>
      </c>
      <c r="F28">
        <f t="shared" si="16"/>
        <v>95.95</v>
      </c>
      <c r="G28" s="8">
        <f t="shared" si="11"/>
        <v>9.75</v>
      </c>
      <c r="I28" s="7">
        <v>109.54</v>
      </c>
      <c r="J28">
        <f t="shared" si="17"/>
        <v>95.79</v>
      </c>
      <c r="K28" s="8">
        <f t="shared" si="12"/>
        <v>13.75</v>
      </c>
      <c r="M28" s="7"/>
      <c r="O28" s="8"/>
      <c r="Q28" s="7">
        <v>75.75</v>
      </c>
      <c r="R28">
        <f t="shared" si="19"/>
        <v>67</v>
      </c>
      <c r="S28" s="8">
        <f t="shared" si="14"/>
        <v>8.75</v>
      </c>
    </row>
    <row r="29" spans="1:19" x14ac:dyDescent="0.25">
      <c r="A29" s="7">
        <v>69.19</v>
      </c>
      <c r="B29">
        <f t="shared" si="15"/>
        <v>63.44</v>
      </c>
      <c r="C29" s="8">
        <f t="shared" si="10"/>
        <v>5.75</v>
      </c>
      <c r="E29" s="7">
        <v>126.23</v>
      </c>
      <c r="F29">
        <v>117.7</v>
      </c>
      <c r="G29" s="8">
        <f t="shared" si="11"/>
        <v>8.5300000000000011</v>
      </c>
      <c r="I29" s="7">
        <v>151.54</v>
      </c>
      <c r="J29">
        <v>133.79</v>
      </c>
      <c r="K29" s="8">
        <f t="shared" si="12"/>
        <v>17.75</v>
      </c>
      <c r="M29" s="7"/>
      <c r="O29" s="8"/>
      <c r="Q29" s="7">
        <v>84.5</v>
      </c>
      <c r="R29">
        <f t="shared" si="19"/>
        <v>75.75</v>
      </c>
      <c r="S29" s="8">
        <f t="shared" si="14"/>
        <v>8.75</v>
      </c>
    </row>
    <row r="30" spans="1:19" x14ac:dyDescent="0.25">
      <c r="A30" s="7"/>
      <c r="C30" s="8"/>
      <c r="E30" s="7">
        <v>137.47999999999999</v>
      </c>
      <c r="F30">
        <f>E29</f>
        <v>126.23</v>
      </c>
      <c r="G30" s="8">
        <f t="shared" si="11"/>
        <v>11.249999999999986</v>
      </c>
      <c r="I30" s="7">
        <v>163.04</v>
      </c>
      <c r="J30">
        <f t="shared" si="17"/>
        <v>151.54</v>
      </c>
      <c r="K30" s="8">
        <f t="shared" si="12"/>
        <v>11.5</v>
      </c>
      <c r="M30" s="7"/>
      <c r="O30" s="8"/>
      <c r="Q30" s="7">
        <v>91.76</v>
      </c>
      <c r="R30">
        <f t="shared" si="19"/>
        <v>84.5</v>
      </c>
      <c r="S30" s="8">
        <f t="shared" si="14"/>
        <v>7.2600000000000051</v>
      </c>
    </row>
    <row r="31" spans="1:19" x14ac:dyDescent="0.25">
      <c r="A31" s="7"/>
      <c r="C31" s="8"/>
      <c r="E31" s="7">
        <v>148.47999999999999</v>
      </c>
      <c r="F31">
        <f t="shared" ref="F31" si="20">E30</f>
        <v>137.47999999999999</v>
      </c>
      <c r="G31" s="8">
        <f t="shared" si="11"/>
        <v>11</v>
      </c>
      <c r="I31" s="7">
        <v>177.54</v>
      </c>
      <c r="J31">
        <f t="shared" si="17"/>
        <v>163.04</v>
      </c>
      <c r="K31" s="8">
        <f t="shared" si="12"/>
        <v>14.5</v>
      </c>
      <c r="M31" s="7"/>
      <c r="O31" s="8"/>
      <c r="Q31" s="7">
        <v>98.5</v>
      </c>
      <c r="R31">
        <f t="shared" si="19"/>
        <v>91.76</v>
      </c>
      <c r="S31" s="8">
        <f t="shared" si="14"/>
        <v>6.7399999999999949</v>
      </c>
    </row>
    <row r="32" spans="1:19" ht="15.75" thickBot="1" x14ac:dyDescent="0.3">
      <c r="A32" s="7"/>
      <c r="C32" s="8"/>
      <c r="E32" s="7">
        <v>175.73</v>
      </c>
      <c r="F32">
        <v>162.47999999999999</v>
      </c>
      <c r="G32" s="8">
        <f t="shared" si="11"/>
        <v>13.25</v>
      </c>
      <c r="I32" s="7"/>
      <c r="K32" s="8"/>
      <c r="M32" s="7"/>
      <c r="O32" s="8"/>
      <c r="Q32" s="7">
        <v>105.25</v>
      </c>
      <c r="R32">
        <f t="shared" si="19"/>
        <v>98.5</v>
      </c>
      <c r="S32" s="8">
        <f t="shared" si="14"/>
        <v>6.75</v>
      </c>
    </row>
    <row r="33" spans="1:19" ht="15.75" thickBot="1" x14ac:dyDescent="0.3">
      <c r="A33" s="1" t="s">
        <v>6</v>
      </c>
      <c r="B33" s="2"/>
      <c r="C33" s="3">
        <f>AVERAGE(C21:C32)</f>
        <v>5.8888888888888893</v>
      </c>
      <c r="E33" s="1" t="s">
        <v>6</v>
      </c>
      <c r="F33" s="2"/>
      <c r="G33" s="3">
        <f>AVERAGE(G21:G32)</f>
        <v>9.6691666666666656</v>
      </c>
      <c r="I33" s="1" t="s">
        <v>6</v>
      </c>
      <c r="J33" s="2"/>
      <c r="K33" s="3">
        <f>AVERAGE(K21:K31)</f>
        <v>12.977272727272727</v>
      </c>
      <c r="M33" s="1" t="s">
        <v>6</v>
      </c>
      <c r="N33" s="2"/>
      <c r="O33" s="3">
        <f>AVERAGE(O21:O31)</f>
        <v>3.6666666666666665</v>
      </c>
      <c r="Q33" s="1" t="s">
        <v>6</v>
      </c>
      <c r="R33" s="2"/>
      <c r="S33" s="3">
        <f>AVERAGE(S21:S32)</f>
        <v>8.0416666666666661</v>
      </c>
    </row>
    <row r="36" spans="1:19" ht="15.75" thickBot="1" x14ac:dyDescent="0.3"/>
    <row r="37" spans="1:19" ht="15.75" thickBot="1" x14ac:dyDescent="0.3">
      <c r="A37" s="1" t="s">
        <v>17</v>
      </c>
      <c r="B37" s="2"/>
      <c r="C37" s="3"/>
      <c r="E37" s="1" t="s">
        <v>18</v>
      </c>
      <c r="F37" s="2"/>
      <c r="G37" s="3"/>
    </row>
    <row r="38" spans="1:19" x14ac:dyDescent="0.25">
      <c r="A38" s="4" t="s">
        <v>4</v>
      </c>
      <c r="B38" s="5" t="s">
        <v>5</v>
      </c>
      <c r="C38" s="6" t="s">
        <v>2</v>
      </c>
      <c r="E38" s="4" t="s">
        <v>4</v>
      </c>
      <c r="F38" s="5" t="s">
        <v>5</v>
      </c>
      <c r="G38" s="6" t="s">
        <v>2</v>
      </c>
    </row>
    <row r="39" spans="1:19" x14ac:dyDescent="0.25">
      <c r="A39" s="7">
        <v>3</v>
      </c>
      <c r="B39">
        <v>0.5</v>
      </c>
      <c r="C39" s="8">
        <f>A39-B39</f>
        <v>2.5</v>
      </c>
      <c r="E39" s="7">
        <v>61.41</v>
      </c>
      <c r="F39">
        <v>28.28</v>
      </c>
      <c r="G39" s="8">
        <f>E39-F39</f>
        <v>33.129999999999995</v>
      </c>
    </row>
    <row r="40" spans="1:19" x14ac:dyDescent="0.25">
      <c r="A40" s="7">
        <v>5.5</v>
      </c>
      <c r="B40">
        <f>A39</f>
        <v>3</v>
      </c>
      <c r="C40" s="8">
        <f t="shared" ref="C40:C50" si="21">A40-B40</f>
        <v>2.5</v>
      </c>
      <c r="E40" s="7">
        <v>103.66</v>
      </c>
      <c r="F40">
        <f>E39</f>
        <v>61.41</v>
      </c>
      <c r="G40" s="8">
        <f t="shared" ref="G40:G41" si="22">E40-F40</f>
        <v>42.25</v>
      </c>
    </row>
    <row r="41" spans="1:19" x14ac:dyDescent="0.25">
      <c r="A41" s="7">
        <v>6.75</v>
      </c>
      <c r="B41">
        <f t="shared" ref="B41:B50" si="23">A40</f>
        <v>5.5</v>
      </c>
      <c r="C41" s="8">
        <f t="shared" si="21"/>
        <v>1.25</v>
      </c>
      <c r="E41" s="7">
        <v>132.13</v>
      </c>
      <c r="F41">
        <f t="shared" ref="F41" si="24">E40</f>
        <v>103.66</v>
      </c>
      <c r="G41" s="8">
        <f t="shared" si="22"/>
        <v>28.47</v>
      </c>
    </row>
    <row r="42" spans="1:19" x14ac:dyDescent="0.25">
      <c r="A42" s="7">
        <v>8.25</v>
      </c>
      <c r="B42">
        <f t="shared" si="23"/>
        <v>6.75</v>
      </c>
      <c r="C42" s="8">
        <f t="shared" si="21"/>
        <v>1.5</v>
      </c>
      <c r="E42" s="7"/>
      <c r="G42" s="8"/>
    </row>
    <row r="43" spans="1:19" x14ac:dyDescent="0.25">
      <c r="A43" s="7">
        <v>9.75</v>
      </c>
      <c r="B43">
        <f t="shared" si="23"/>
        <v>8.25</v>
      </c>
      <c r="C43" s="8">
        <f t="shared" si="21"/>
        <v>1.5</v>
      </c>
      <c r="E43" s="7"/>
      <c r="G43" s="8"/>
    </row>
    <row r="44" spans="1:19" x14ac:dyDescent="0.25">
      <c r="A44" s="7">
        <v>12</v>
      </c>
      <c r="B44">
        <f t="shared" si="23"/>
        <v>9.75</v>
      </c>
      <c r="C44" s="8">
        <f t="shared" si="21"/>
        <v>2.25</v>
      </c>
      <c r="E44" s="7"/>
      <c r="G44" s="8"/>
    </row>
    <row r="45" spans="1:19" x14ac:dyDescent="0.25">
      <c r="A45" s="7">
        <v>13.75</v>
      </c>
      <c r="B45">
        <f t="shared" si="23"/>
        <v>12</v>
      </c>
      <c r="C45" s="8">
        <f t="shared" si="21"/>
        <v>1.75</v>
      </c>
      <c r="E45" s="7"/>
      <c r="G45" s="8"/>
    </row>
    <row r="46" spans="1:19" x14ac:dyDescent="0.25">
      <c r="A46" s="7">
        <v>25</v>
      </c>
      <c r="B46">
        <v>23</v>
      </c>
      <c r="C46" s="8">
        <f t="shared" si="21"/>
        <v>2</v>
      </c>
      <c r="E46" s="7"/>
      <c r="G46" s="8"/>
    </row>
    <row r="47" spans="1:19" x14ac:dyDescent="0.25">
      <c r="A47" s="7">
        <v>26.25</v>
      </c>
      <c r="B47">
        <f t="shared" si="23"/>
        <v>25</v>
      </c>
      <c r="C47" s="8">
        <f t="shared" si="21"/>
        <v>1.25</v>
      </c>
      <c r="E47" s="7"/>
      <c r="G47" s="8"/>
    </row>
    <row r="48" spans="1:19" x14ac:dyDescent="0.25">
      <c r="A48" s="7">
        <v>27.75</v>
      </c>
      <c r="B48">
        <f t="shared" si="23"/>
        <v>26.25</v>
      </c>
      <c r="C48" s="8">
        <f t="shared" si="21"/>
        <v>1.5</v>
      </c>
      <c r="E48" s="7"/>
      <c r="G48" s="8"/>
    </row>
    <row r="49" spans="1:7" x14ac:dyDescent="0.25">
      <c r="A49" s="7">
        <v>30.25</v>
      </c>
      <c r="B49">
        <f t="shared" si="23"/>
        <v>27.75</v>
      </c>
      <c r="C49" s="8">
        <f t="shared" si="21"/>
        <v>2.5</v>
      </c>
      <c r="E49" s="7"/>
      <c r="G49" s="8"/>
    </row>
    <row r="50" spans="1:7" ht="15.75" thickBot="1" x14ac:dyDescent="0.3">
      <c r="A50" s="7">
        <v>31.75</v>
      </c>
      <c r="B50">
        <f t="shared" si="23"/>
        <v>30.25</v>
      </c>
      <c r="C50" s="8">
        <f t="shared" si="21"/>
        <v>1.5</v>
      </c>
      <c r="E50" s="7"/>
      <c r="G50" s="8"/>
    </row>
    <row r="51" spans="1:7" ht="15.75" thickBot="1" x14ac:dyDescent="0.3">
      <c r="A51" s="1" t="s">
        <v>6</v>
      </c>
      <c r="B51" s="2"/>
      <c r="C51" s="3">
        <f>AVERAGE(C39:C50)</f>
        <v>1.8333333333333333</v>
      </c>
      <c r="E51" s="1" t="s">
        <v>6</v>
      </c>
      <c r="F51" s="2"/>
      <c r="G51" s="3">
        <f>AVERAGE(G39:G50)</f>
        <v>34.616666666666667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Médias - Tempos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de Conto Rodrigues</dc:creator>
  <cp:lastModifiedBy>Fabio Antonio Dalla Vecchia</cp:lastModifiedBy>
  <dcterms:created xsi:type="dcterms:W3CDTF">2023-03-10T10:37:16Z</dcterms:created>
  <dcterms:modified xsi:type="dcterms:W3CDTF">2026-09-28T19:23:13Z</dcterms:modified>
</cp:coreProperties>
</file>