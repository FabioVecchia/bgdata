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6 - ENGENHARIA DE PRODUÇÃO\01 - Projeto ToC\Teste Piloto\"/>
    </mc:Choice>
  </mc:AlternateContent>
  <xr:revisionPtr revIDLastSave="0" documentId="13_ncr:1_{FE30CEB0-96A3-459F-BA16-47425480C142}" xr6:coauthVersionLast="47" xr6:coauthVersionMax="47" xr10:uidLastSave="{00000000-0000-0000-0000-000000000000}"/>
  <bookViews>
    <workbookView xWindow="-120" yWindow="-120" windowWidth="20730" windowHeight="11160" xr2:uid="{53E3B467-356E-4F1B-AAB1-E6C16ADEA0C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25" i="1"/>
  <c r="D24" i="1"/>
  <c r="D23" i="1"/>
  <c r="D22" i="1"/>
  <c r="D16" i="1"/>
  <c r="D15" i="1"/>
  <c r="D14" i="1"/>
  <c r="D13" i="1"/>
  <c r="D17" i="1" s="1"/>
</calcChain>
</file>

<file path=xl/sharedStrings.xml><?xml version="1.0" encoding="utf-8"?>
<sst xmlns="http://schemas.openxmlformats.org/spreadsheetml/2006/main" count="51" uniqueCount="37">
  <si>
    <t>tipo</t>
  </si>
  <si>
    <t>preço</t>
  </si>
  <si>
    <t>marca</t>
  </si>
  <si>
    <t>fornecedor</t>
  </si>
  <si>
    <t>orçamento</t>
  </si>
  <si>
    <t xml:space="preserve">data </t>
  </si>
  <si>
    <t>cantoneira</t>
  </si>
  <si>
    <t>arcelor mital</t>
  </si>
  <si>
    <t>https://loja.arcelormittal.com.br/cantoneira-2-x-1-4-nbr-7007-mr-250-6-metros/p</t>
  </si>
  <si>
    <t>PU 100mm para até 300Kg - SCHIOPPA-GL414-PE</t>
  </si>
  <si>
    <t>Schioppa</t>
  </si>
  <si>
    <t>Loja do mecânico</t>
  </si>
  <si>
    <t>https://www.lojadomecanico.com.br/produto/139312/42/492/Rodizio-Giratorio-PU-100mm-para-ate-300Kg/153/?utm_source=googleshopping&amp;utm_campaign=xmlshopping&amp;utm_medium=cpc&amp;utm_content=139312&amp;gclid=Cj0KCQjw1bqZBhDXARIsANTjCPINOqhsl4mdZmeq54-tG60ANocNFzQmHbnFhBtRr9UgiTSKB1TrFdUaAhDgEALw_wcB</t>
  </si>
  <si>
    <t xml:space="preserve">Tubo </t>
  </si>
  <si>
    <t>40mm X 40mm X 3,00mm X 6m</t>
  </si>
  <si>
    <t>https://loja.arcelormittal.com.br/tubo-industrial--6591-40-x-40-x-3-00-x-6-metros/p</t>
  </si>
  <si>
    <t>trilho roletado flow rack</t>
  </si>
  <si>
    <t>carga 65Kg/m x  3 m</t>
  </si>
  <si>
    <t>PIC</t>
  </si>
  <si>
    <t>IPC</t>
  </si>
  <si>
    <t>https://www.ipccomercial.com.br/trilho-roletado-flow-rack/trilho-65/trilho-roletado-para-65-kg-3-00-metro--p</t>
  </si>
  <si>
    <t>CAIXA PINO</t>
  </si>
  <si>
    <t>BIN NR4 AZUL</t>
  </si>
  <si>
    <t>desconhecido</t>
  </si>
  <si>
    <t>CCP</t>
  </si>
  <si>
    <t>https://www.ccpvirtual.com.br/gavetas-para-estante-azul-ni03/p?idsku=58385&amp;gclid=Cj0KCQjw1bqZBhDXARIsANTjCPKoZ28_N0F4Tnvobj3QhlTIwZB2FfPrmedYGxNdb9ZNHic4lJHOEA8aAjDDEALw_wcB</t>
  </si>
  <si>
    <t>trilho instrustrial roletado Viemar de  3 m</t>
  </si>
  <si>
    <t>material necessario</t>
  </si>
  <si>
    <t>QTD</t>
  </si>
  <si>
    <t>Valor</t>
  </si>
  <si>
    <t>Rodízio Giratório</t>
  </si>
  <si>
    <t>total MP</t>
  </si>
  <si>
    <t>trilho instrustrial roletado Viemar de  4 m</t>
  </si>
  <si>
    <t>2" x 3/16 x 6m</t>
  </si>
  <si>
    <t>medidas/ especificações</t>
  </si>
  <si>
    <t>Necessidade</t>
  </si>
  <si>
    <t>rodizio giratório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</si>
</sst>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17">
    <xf numFmtId="0" fontId="0" fillId="0" borderId="0" xfId="0"/>
    <xf numFmtId="0" fontId="1" fillId="0" borderId="0" xfId="2"/>
    <xf numFmtId="164" fontId="1" fillId="0" borderId="0" xfId="2" applyNumberFormat="1"/>
    <xf numFmtId="14" fontId="1" fillId="0" borderId="0" xfId="2" applyNumberFormat="1"/>
    <xf numFmtId="0" fontId="2" fillId="0" borderId="0" xfId="1" applyAlignment="1"/>
    <xf numFmtId="0" fontId="1" fillId="0" borderId="1" xfId="2" applyBorder="1"/>
    <xf numFmtId="0" fontId="1" fillId="0" borderId="2" xfId="2" applyBorder="1"/>
    <xf numFmtId="0" fontId="1" fillId="0" borderId="3" xfId="2" applyBorder="1"/>
    <xf numFmtId="0" fontId="1" fillId="0" borderId="4" xfId="2" applyBorder="1"/>
    <xf numFmtId="0" fontId="1" fillId="0" borderId="5" xfId="2" applyBorder="1"/>
    <xf numFmtId="164" fontId="1" fillId="0" borderId="5" xfId="2" applyNumberFormat="1" applyBorder="1"/>
    <xf numFmtId="0" fontId="1" fillId="2" borderId="6" xfId="2" applyFill="1" applyBorder="1"/>
    <xf numFmtId="0" fontId="1" fillId="2" borderId="7" xfId="2" applyFill="1" applyBorder="1"/>
    <xf numFmtId="164" fontId="1" fillId="2" borderId="8" xfId="2" applyNumberFormat="1" applyFill="1" applyBorder="1"/>
    <xf numFmtId="0" fontId="0" fillId="0" borderId="0" xfId="0" applyAlignment="1">
      <alignment horizontal="center"/>
    </xf>
    <xf numFmtId="0" fontId="1" fillId="0" borderId="9" xfId="2" applyBorder="1"/>
    <xf numFmtId="0" fontId="1" fillId="0" borderId="9" xfId="2" applyFill="1" applyBorder="1"/>
  </cellXfs>
  <cellStyles count="3">
    <cellStyle name="Hiperlink" xfId="1" builtinId="8"/>
    <cellStyle name="Normal" xfId="0" builtinId="0"/>
    <cellStyle name="Normal 2" xfId="2" xr:uid="{310CF2BB-756F-43D8-8ED7-77DD508F4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cpvirtual.com.br/gavetas-para-estante-azul-ni03/p?idsku=58385&amp;gclid=Cj0KCQjw1bqZBhDXARIsANTjCPKoZ28_N0F4Tnvobj3QhlTIwZB2FfPrmedYGxNdb9ZNHic4lJHOEA8aAjDD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6B82-7356-4459-81F0-6EDB37BCDC23}">
  <dimension ref="B2:I26"/>
  <sheetViews>
    <sheetView tabSelected="1" workbookViewId="0">
      <selection activeCell="C27" sqref="C27"/>
    </sheetView>
  </sheetViews>
  <sheetFormatPr defaultRowHeight="15" x14ac:dyDescent="0.25"/>
  <cols>
    <col min="2" max="2" width="22.5703125" customWidth="1"/>
    <col min="3" max="3" width="48.5703125" customWidth="1"/>
    <col min="4" max="4" width="12.140625" bestFit="1" customWidth="1"/>
    <col min="6" max="6" width="16.28515625" bestFit="1" customWidth="1"/>
    <col min="7" max="7" width="20.7109375" customWidth="1"/>
    <col min="8" max="8" width="10.7109375" bestFit="1" customWidth="1"/>
    <col min="9" max="9" width="12.28515625" bestFit="1" customWidth="1"/>
  </cols>
  <sheetData>
    <row r="2" spans="2:9" x14ac:dyDescent="0.25">
      <c r="B2" s="15" t="s">
        <v>0</v>
      </c>
      <c r="C2" s="15" t="s">
        <v>34</v>
      </c>
      <c r="D2" s="15" t="s">
        <v>1</v>
      </c>
      <c r="E2" s="15" t="s">
        <v>2</v>
      </c>
      <c r="F2" s="15" t="s">
        <v>3</v>
      </c>
      <c r="G2" s="15" t="s">
        <v>4</v>
      </c>
      <c r="H2" s="15" t="s">
        <v>5</v>
      </c>
      <c r="I2" s="16" t="s">
        <v>35</v>
      </c>
    </row>
    <row r="3" spans="2:9" x14ac:dyDescent="0.25">
      <c r="B3" s="1" t="s">
        <v>6</v>
      </c>
      <c r="C3" s="1" t="s">
        <v>33</v>
      </c>
      <c r="D3" s="2">
        <v>224.51</v>
      </c>
      <c r="E3" s="1" t="s">
        <v>7</v>
      </c>
      <c r="F3" s="1" t="s">
        <v>7</v>
      </c>
      <c r="G3" s="1" t="s">
        <v>8</v>
      </c>
      <c r="H3" s="3">
        <v>44828</v>
      </c>
      <c r="I3" s="14">
        <v>9</v>
      </c>
    </row>
    <row r="4" spans="2:9" x14ac:dyDescent="0.25">
      <c r="B4" s="1" t="s">
        <v>36</v>
      </c>
      <c r="C4" s="1" t="s">
        <v>9</v>
      </c>
      <c r="D4" s="2">
        <v>160.9</v>
      </c>
      <c r="E4" s="1" t="s">
        <v>10</v>
      </c>
      <c r="F4" s="1" t="s">
        <v>11</v>
      </c>
      <c r="G4" s="1" t="s">
        <v>12</v>
      </c>
      <c r="H4" s="3">
        <v>44828</v>
      </c>
      <c r="I4" s="14">
        <v>8</v>
      </c>
    </row>
    <row r="5" spans="2:9" x14ac:dyDescent="0.25">
      <c r="B5" s="1" t="s">
        <v>13</v>
      </c>
      <c r="C5" s="1" t="s">
        <v>14</v>
      </c>
      <c r="D5" s="2">
        <v>209.91</v>
      </c>
      <c r="E5" s="1" t="s">
        <v>7</v>
      </c>
      <c r="F5" s="1" t="s">
        <v>7</v>
      </c>
      <c r="G5" s="1" t="s">
        <v>15</v>
      </c>
      <c r="H5" s="3">
        <v>44828</v>
      </c>
      <c r="I5" s="14">
        <v>3</v>
      </c>
    </row>
    <row r="6" spans="2:9" x14ac:dyDescent="0.25">
      <c r="B6" s="1" t="s">
        <v>16</v>
      </c>
      <c r="C6" s="1" t="s">
        <v>17</v>
      </c>
      <c r="D6" s="2">
        <v>163.71</v>
      </c>
      <c r="E6" s="1" t="s">
        <v>18</v>
      </c>
      <c r="F6" s="1" t="s">
        <v>19</v>
      </c>
      <c r="G6" s="1" t="s">
        <v>20</v>
      </c>
      <c r="H6" s="3">
        <v>44828</v>
      </c>
      <c r="I6" s="14">
        <v>5</v>
      </c>
    </row>
    <row r="7" spans="2:9" x14ac:dyDescent="0.25">
      <c r="B7" s="1" t="s">
        <v>21</v>
      </c>
      <c r="C7" s="1" t="s">
        <v>22</v>
      </c>
      <c r="D7" s="2">
        <v>2.88</v>
      </c>
      <c r="E7" s="1" t="s">
        <v>23</v>
      </c>
      <c r="F7" s="1" t="s">
        <v>24</v>
      </c>
      <c r="G7" s="4" t="s">
        <v>25</v>
      </c>
      <c r="H7" s="3">
        <v>44828</v>
      </c>
      <c r="I7" s="14">
        <v>400</v>
      </c>
    </row>
    <row r="8" spans="2:9" x14ac:dyDescent="0.25">
      <c r="B8" s="1"/>
      <c r="C8" s="1"/>
      <c r="D8" s="2"/>
      <c r="E8" s="1"/>
      <c r="F8" s="1"/>
      <c r="G8" s="1"/>
      <c r="H8" s="3"/>
    </row>
    <row r="9" spans="2:9" x14ac:dyDescent="0.25">
      <c r="B9" s="1"/>
      <c r="C9" s="1"/>
      <c r="D9" s="2"/>
      <c r="E9" s="1"/>
      <c r="F9" s="1"/>
      <c r="G9" s="1"/>
      <c r="H9" s="1"/>
    </row>
    <row r="10" spans="2:9" ht="15.75" hidden="1" thickBot="1" x14ac:dyDescent="0.3">
      <c r="B10" s="1"/>
      <c r="C10" s="1"/>
      <c r="D10" s="1"/>
      <c r="E10" s="1"/>
      <c r="F10" s="1"/>
      <c r="G10" s="1"/>
      <c r="H10" s="1"/>
    </row>
    <row r="11" spans="2:9" hidden="1" x14ac:dyDescent="0.25">
      <c r="B11" s="5" t="s">
        <v>26</v>
      </c>
      <c r="C11" s="6"/>
      <c r="D11" s="7"/>
      <c r="E11" s="1"/>
      <c r="F11" s="1"/>
      <c r="G11" s="1"/>
      <c r="H11" s="1"/>
    </row>
    <row r="12" spans="2:9" hidden="1" x14ac:dyDescent="0.25">
      <c r="B12" s="8" t="s">
        <v>27</v>
      </c>
      <c r="C12" s="1" t="s">
        <v>28</v>
      </c>
      <c r="D12" s="9" t="s">
        <v>29</v>
      </c>
      <c r="E12" s="1"/>
      <c r="F12" s="1"/>
      <c r="G12" s="1"/>
      <c r="H12" s="1"/>
    </row>
    <row r="13" spans="2:9" hidden="1" x14ac:dyDescent="0.25">
      <c r="B13" s="8" t="s">
        <v>6</v>
      </c>
      <c r="C13" s="1">
        <v>4</v>
      </c>
      <c r="D13" s="10">
        <f>C13*D3</f>
        <v>898.04</v>
      </c>
      <c r="E13" s="1"/>
      <c r="F13" s="1"/>
      <c r="G13" s="1"/>
      <c r="H13" s="1"/>
    </row>
    <row r="14" spans="2:9" hidden="1" x14ac:dyDescent="0.25">
      <c r="B14" s="8" t="s">
        <v>30</v>
      </c>
      <c r="C14" s="1">
        <v>4</v>
      </c>
      <c r="D14" s="10">
        <f t="shared" ref="D14:D16" si="0">C14*D4</f>
        <v>643.6</v>
      </c>
      <c r="E14" s="1"/>
      <c r="F14" s="1"/>
      <c r="G14" s="1"/>
      <c r="H14" s="1"/>
    </row>
    <row r="15" spans="2:9" hidden="1" x14ac:dyDescent="0.25">
      <c r="B15" s="8" t="s">
        <v>13</v>
      </c>
      <c r="C15" s="1">
        <v>1</v>
      </c>
      <c r="D15" s="10">
        <f t="shared" si="0"/>
        <v>209.91</v>
      </c>
      <c r="E15" s="1"/>
      <c r="F15" s="1"/>
      <c r="G15" s="1"/>
      <c r="H15" s="1"/>
    </row>
    <row r="16" spans="2:9" hidden="1" x14ac:dyDescent="0.25">
      <c r="B16" s="8" t="s">
        <v>16</v>
      </c>
      <c r="C16" s="1">
        <v>2</v>
      </c>
      <c r="D16" s="10">
        <f t="shared" si="0"/>
        <v>327.42</v>
      </c>
      <c r="E16" s="1"/>
      <c r="F16" s="1"/>
      <c r="G16" s="1"/>
      <c r="H16" s="1"/>
    </row>
    <row r="17" spans="2:8" ht="15.75" hidden="1" thickBot="1" x14ac:dyDescent="0.3">
      <c r="B17" s="11" t="s">
        <v>31</v>
      </c>
      <c r="C17" s="12"/>
      <c r="D17" s="13">
        <f>SUM(D13:D16)</f>
        <v>2078.9699999999998</v>
      </c>
      <c r="E17" s="1"/>
      <c r="F17" s="1"/>
      <c r="G17" s="1"/>
      <c r="H17" s="1"/>
    </row>
    <row r="18" spans="2:8" hidden="1" x14ac:dyDescent="0.25">
      <c r="B18" s="1"/>
      <c r="C18" s="1"/>
      <c r="D18" s="1"/>
      <c r="E18" s="1"/>
      <c r="F18" s="1"/>
      <c r="G18" s="1"/>
      <c r="H18" s="1"/>
    </row>
    <row r="19" spans="2:8" ht="15.75" hidden="1" thickBot="1" x14ac:dyDescent="0.3">
      <c r="B19" s="1"/>
      <c r="C19" s="1"/>
      <c r="D19" s="1"/>
      <c r="E19" s="1"/>
      <c r="F19" s="1"/>
      <c r="G19" s="1"/>
      <c r="H19" s="1"/>
    </row>
    <row r="20" spans="2:8" hidden="1" x14ac:dyDescent="0.25">
      <c r="B20" s="5" t="s">
        <v>32</v>
      </c>
      <c r="C20" s="6"/>
      <c r="D20" s="7"/>
      <c r="E20" s="1"/>
      <c r="F20" s="1"/>
      <c r="G20" s="1"/>
      <c r="H20" s="1"/>
    </row>
    <row r="21" spans="2:8" hidden="1" x14ac:dyDescent="0.25">
      <c r="B21" s="8" t="s">
        <v>27</v>
      </c>
      <c r="C21" s="1" t="s">
        <v>28</v>
      </c>
      <c r="D21" s="9" t="s">
        <v>29</v>
      </c>
      <c r="E21" s="1"/>
      <c r="F21" s="1"/>
      <c r="G21" s="1"/>
      <c r="H21" s="1"/>
    </row>
    <row r="22" spans="2:8" hidden="1" x14ac:dyDescent="0.25">
      <c r="B22" s="8" t="s">
        <v>6</v>
      </c>
      <c r="C22" s="1">
        <v>5</v>
      </c>
      <c r="D22" s="10">
        <f>C22*D3</f>
        <v>1122.55</v>
      </c>
      <c r="E22" s="1"/>
      <c r="F22" s="1"/>
      <c r="G22" s="1"/>
      <c r="H22" s="1"/>
    </row>
    <row r="23" spans="2:8" hidden="1" x14ac:dyDescent="0.25">
      <c r="B23" s="8" t="s">
        <v>30</v>
      </c>
      <c r="C23" s="1">
        <v>4</v>
      </c>
      <c r="D23" s="10">
        <f>C23*D4</f>
        <v>643.6</v>
      </c>
      <c r="E23" s="1"/>
      <c r="F23" s="1"/>
      <c r="G23" s="1"/>
      <c r="H23" s="1"/>
    </row>
    <row r="24" spans="2:8" hidden="1" x14ac:dyDescent="0.25">
      <c r="B24" s="8" t="s">
        <v>13</v>
      </c>
      <c r="C24" s="1">
        <v>2</v>
      </c>
      <c r="D24" s="10">
        <f>C24*D5</f>
        <v>419.82</v>
      </c>
      <c r="E24" s="1"/>
      <c r="F24" s="1"/>
      <c r="G24" s="1"/>
      <c r="H24" s="1"/>
    </row>
    <row r="25" spans="2:8" hidden="1" x14ac:dyDescent="0.25">
      <c r="B25" s="8" t="s">
        <v>16</v>
      </c>
      <c r="C25" s="1">
        <v>3</v>
      </c>
      <c r="D25" s="10">
        <f>C25*D6</f>
        <v>491.13</v>
      </c>
      <c r="E25" s="1"/>
      <c r="F25" s="1"/>
      <c r="G25" s="1"/>
      <c r="H25" s="1"/>
    </row>
    <row r="26" spans="2:8" ht="15.75" hidden="1" thickBot="1" x14ac:dyDescent="0.3">
      <c r="B26" s="11" t="s">
        <v>31</v>
      </c>
      <c r="C26" s="12"/>
      <c r="D26" s="13">
        <f>SUM(D22:D25)</f>
        <v>2677.1000000000004</v>
      </c>
      <c r="E26" s="1"/>
      <c r="F26" s="1"/>
      <c r="G26" s="1"/>
      <c r="H26" s="1"/>
    </row>
  </sheetData>
  <hyperlinks>
    <hyperlink ref="G7" r:id="rId1" xr:uid="{64C510FB-9FCE-4CB2-84FF-DEFA8AA5CF98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Nodari</dc:creator>
  <cp:lastModifiedBy>Cristiano Nodari</cp:lastModifiedBy>
  <dcterms:created xsi:type="dcterms:W3CDTF">2022-10-18T17:47:02Z</dcterms:created>
  <dcterms:modified xsi:type="dcterms:W3CDTF">2022-10-18T18:11:10Z</dcterms:modified>
</cp:coreProperties>
</file>